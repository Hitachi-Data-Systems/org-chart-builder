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5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6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doreper\PycharmProjects\OrgChartBuilder\test\"/>
    </mc:Choice>
  </mc:AlternateContent>
  <bookViews>
    <workbookView xWindow="2295" yWindow="0" windowWidth="29025" windowHeight="20220" tabRatio="567" activeTab="7"/>
  </bookViews>
  <sheets>
    <sheet name="AWFunc" sheetId="9" r:id="rId1"/>
    <sheet name="HCPFunc" sheetId="5" r:id="rId2"/>
    <sheet name="HDDSFunc" sheetId="11" r:id="rId3"/>
    <sheet name="RhinoFunc" sheetId="8" r:id="rId4"/>
    <sheet name="CrossFunc" sheetId="10" r:id="rId5"/>
    <sheet name="WalthamAdmin" sheetId="6" r:id="rId6"/>
    <sheet name="Views" sheetId="4" r:id="rId7"/>
    <sheet name="PeopleData" sheetId="1" r:id="rId8"/>
    <sheet name="Team Totals" sheetId="2" r:id="rId9"/>
    <sheet name="Departures" sheetId="3" r:id="rId10"/>
  </sheets>
  <definedNames>
    <definedName name="_xlnm._FilterDatabase" localSheetId="7" hidden="1">PeopleData!$A$1:$N$40</definedName>
  </definedNames>
  <calcPr calcId="152511"/>
  <pivotCaches>
    <pivotCache cacheId="24" r:id="rId11"/>
    <pivotCache cacheId="25" r:id="rId12"/>
    <pivotCache cacheId="26" r:id="rId13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2" i="2" l="1"/>
  <c r="C32" i="2"/>
  <c r="B32" i="2"/>
  <c r="G4" i="2"/>
  <c r="F4" i="2"/>
  <c r="B4" i="2"/>
  <c r="C4" i="2"/>
  <c r="D4" i="2"/>
  <c r="C39" i="2"/>
  <c r="C38" i="2"/>
  <c r="D28" i="2"/>
  <c r="C28" i="2"/>
  <c r="B28" i="2"/>
  <c r="O28" i="2" s="1"/>
  <c r="D24" i="2"/>
  <c r="C24" i="2"/>
  <c r="B24" i="2"/>
  <c r="O24" i="2" s="1"/>
  <c r="D20" i="2"/>
  <c r="D34" i="2" s="1"/>
  <c r="C20" i="2"/>
  <c r="C34" i="2" s="1"/>
  <c r="B20" i="2"/>
  <c r="O20" i="2" s="1"/>
  <c r="N16" i="2"/>
  <c r="M16" i="2"/>
  <c r="L16" i="2"/>
  <c r="K16" i="2"/>
  <c r="J16" i="2"/>
  <c r="I16" i="2"/>
  <c r="H16" i="2"/>
  <c r="G16" i="2"/>
  <c r="F16" i="2"/>
  <c r="D16" i="2"/>
  <c r="C16" i="2"/>
  <c r="B16" i="2"/>
  <c r="N12" i="2"/>
  <c r="M12" i="2"/>
  <c r="L12" i="2"/>
  <c r="K12" i="2"/>
  <c r="J12" i="2"/>
  <c r="I12" i="2"/>
  <c r="H12" i="2"/>
  <c r="G12" i="2"/>
  <c r="F12" i="2"/>
  <c r="D12" i="2"/>
  <c r="C12" i="2"/>
  <c r="B12" i="2"/>
  <c r="N8" i="2"/>
  <c r="M8" i="2"/>
  <c r="L8" i="2"/>
  <c r="K8" i="2"/>
  <c r="J8" i="2"/>
  <c r="I8" i="2"/>
  <c r="H8" i="2"/>
  <c r="G8" i="2"/>
  <c r="F8" i="2"/>
  <c r="D8" i="2"/>
  <c r="C8" i="2"/>
  <c r="B8" i="2"/>
  <c r="N4" i="2"/>
  <c r="M4" i="2"/>
  <c r="L4" i="2"/>
  <c r="K4" i="2"/>
  <c r="J4" i="2"/>
  <c r="I4" i="2"/>
  <c r="H4" i="2"/>
  <c r="B5" i="2"/>
  <c r="O6" i="2"/>
  <c r="B6" i="2"/>
  <c r="B9" i="2"/>
  <c r="O10" i="2"/>
  <c r="B10" i="2" s="1"/>
  <c r="B13" i="2"/>
  <c r="O14" i="2"/>
  <c r="B14" i="2"/>
  <c r="B17" i="2"/>
  <c r="B21" i="2"/>
  <c r="O21" i="2" s="1"/>
  <c r="B25" i="2"/>
  <c r="O25" i="2" s="1"/>
  <c r="B29" i="2"/>
  <c r="O29" i="2" s="1"/>
  <c r="D21" i="2"/>
  <c r="C21" i="2"/>
  <c r="O18" i="2"/>
  <c r="N17" i="2"/>
  <c r="M17" i="2"/>
  <c r="L17" i="2"/>
  <c r="K17" i="2"/>
  <c r="J17" i="2"/>
  <c r="I17" i="2"/>
  <c r="H17" i="2"/>
  <c r="G17" i="2"/>
  <c r="F17" i="2"/>
  <c r="D17" i="2"/>
  <c r="C17" i="2"/>
  <c r="O26" i="2"/>
  <c r="F5" i="2"/>
  <c r="G5" i="2"/>
  <c r="H5" i="2"/>
  <c r="I5" i="2"/>
  <c r="J5" i="2"/>
  <c r="K5" i="2"/>
  <c r="L5" i="2"/>
  <c r="M5" i="2"/>
  <c r="F9" i="2"/>
  <c r="G9" i="2"/>
  <c r="H9" i="2"/>
  <c r="I9" i="2"/>
  <c r="J9" i="2"/>
  <c r="K9" i="2"/>
  <c r="L9" i="2"/>
  <c r="M9" i="2"/>
  <c r="F13" i="2"/>
  <c r="G13" i="2"/>
  <c r="H13" i="2"/>
  <c r="I13" i="2"/>
  <c r="J13" i="2"/>
  <c r="K13" i="2"/>
  <c r="L13" i="2"/>
  <c r="M13" i="2"/>
  <c r="N13" i="2"/>
  <c r="O22" i="2"/>
  <c r="B38" i="2"/>
  <c r="D29" i="2"/>
  <c r="C29" i="2"/>
  <c r="D25" i="2"/>
  <c r="C25" i="2"/>
  <c r="D33" i="2"/>
  <c r="C33" i="2"/>
  <c r="O30" i="2"/>
  <c r="B33" i="2"/>
  <c r="D13" i="2"/>
  <c r="C13" i="2"/>
  <c r="D9" i="2"/>
  <c r="C9" i="2"/>
  <c r="D5" i="2"/>
  <c r="C5" i="2"/>
  <c r="B39" i="2"/>
  <c r="O34" i="2"/>
  <c r="O9" i="2" l="1"/>
  <c r="O5" i="2"/>
  <c r="O17" i="2"/>
  <c r="O8" i="2"/>
  <c r="O12" i="2"/>
  <c r="O16" i="2"/>
  <c r="O13" i="2"/>
  <c r="O33" i="2" s="1"/>
  <c r="O4" i="2"/>
  <c r="O32" i="2" s="1"/>
  <c r="B34" i="2"/>
</calcChain>
</file>

<file path=xl/sharedStrings.xml><?xml version="1.0" encoding="utf-8"?>
<sst xmlns="http://schemas.openxmlformats.org/spreadsheetml/2006/main" count="726" uniqueCount="292">
  <si>
    <t>Name</t>
  </si>
  <si>
    <t>Team</t>
  </si>
  <si>
    <t>Level</t>
  </si>
  <si>
    <t>Product Team</t>
  </si>
  <si>
    <t>Anderson, Vic</t>
  </si>
  <si>
    <t>HCP-AW</t>
  </si>
  <si>
    <t>Pinkney, Dave</t>
  </si>
  <si>
    <t>HCP (Rhino)</t>
  </si>
  <si>
    <t>Kohli, Nishant</t>
  </si>
  <si>
    <t>HCP</t>
  </si>
  <si>
    <t>Pannese, Donald</t>
  </si>
  <si>
    <t>M3</t>
  </si>
  <si>
    <t>Isherwood, Ben</t>
  </si>
  <si>
    <t>M5</t>
  </si>
  <si>
    <t>Chestna, Wayne</t>
  </si>
  <si>
    <t>Liang, Candy</t>
  </si>
  <si>
    <t>Arena, Chris</t>
  </si>
  <si>
    <t>P1</t>
  </si>
  <si>
    <t>Employee Type</t>
  </si>
  <si>
    <t>FTE</t>
  </si>
  <si>
    <t>Consultant</t>
  </si>
  <si>
    <t>Baron, Tom</t>
  </si>
  <si>
    <t>P4</t>
  </si>
  <si>
    <t>Everitt, Steve</t>
  </si>
  <si>
    <t>Lee, Cody</t>
  </si>
  <si>
    <t>P2</t>
  </si>
  <si>
    <t>Lopes, Kyle</t>
  </si>
  <si>
    <t>Rivas, Eddie</t>
  </si>
  <si>
    <t>Wilson, Emily</t>
  </si>
  <si>
    <t>Aruna, Aruna</t>
  </si>
  <si>
    <t>DeRoo, Nick</t>
  </si>
  <si>
    <t>Gershaneck, Nate</t>
  </si>
  <si>
    <t>Grimaldi, Kevin</t>
  </si>
  <si>
    <t>P3</t>
  </si>
  <si>
    <t>Hartford, Joe</t>
  </si>
  <si>
    <t>Tatar, Ilya</t>
  </si>
  <si>
    <t>Charubini, David</t>
  </si>
  <si>
    <t>Clark, Nate</t>
  </si>
  <si>
    <t>Curry, Clay</t>
  </si>
  <si>
    <t>Kats, Yury</t>
  </si>
  <si>
    <t>Manjanatha, Sowmya</t>
  </si>
  <si>
    <t>Nahata, Kamlesh</t>
  </si>
  <si>
    <t>Zolotusky, Vitaly</t>
  </si>
  <si>
    <t>P5</t>
  </si>
  <si>
    <t>Bennett, Charlie</t>
  </si>
  <si>
    <t>Achiwa, Kyosuke</t>
  </si>
  <si>
    <t>?</t>
  </si>
  <si>
    <t>Expat</t>
  </si>
  <si>
    <t>Blacklock, David</t>
  </si>
  <si>
    <t>Dames, Lisa</t>
  </si>
  <si>
    <t>Haapaoja, Steve</t>
  </si>
  <si>
    <t>Canwell, Krista</t>
  </si>
  <si>
    <t>Ramsey, Diane</t>
  </si>
  <si>
    <t>Roberts, William</t>
  </si>
  <si>
    <t>da Cruz, Jonathan</t>
  </si>
  <si>
    <t>Diehl, Jordan</t>
  </si>
  <si>
    <t>Giddings, Robert</t>
  </si>
  <si>
    <t>Meagher, Tom</t>
  </si>
  <si>
    <t>O'Halloran, Brian</t>
  </si>
  <si>
    <t>Van Thong, Adrien</t>
  </si>
  <si>
    <t>Doddappa, Nagaraja</t>
  </si>
  <si>
    <t>Donnelly, Heather</t>
  </si>
  <si>
    <t>Maxwell, Tyler</t>
  </si>
  <si>
    <t>Shea, Jerry</t>
  </si>
  <si>
    <t>Taneja, Nitesh</t>
  </si>
  <si>
    <t>Wilson, Eric</t>
  </si>
  <si>
    <t>Lin, Wayzen</t>
  </si>
  <si>
    <t>Burnham, John</t>
  </si>
  <si>
    <t>Kostadinov, Alex</t>
  </si>
  <si>
    <t>Bryant, Alan</t>
  </si>
  <si>
    <t>McGuirk, Hannah</t>
  </si>
  <si>
    <t>Mittal, Rashmi</t>
  </si>
  <si>
    <t>Pfahl, Matt</t>
  </si>
  <si>
    <t>Stuart, Logan</t>
  </si>
  <si>
    <t>Tirado, Beth</t>
  </si>
  <si>
    <t>Almonte, Brendan</t>
  </si>
  <si>
    <t>Apte, Sameer</t>
  </si>
  <si>
    <t>Chang, Albert</t>
  </si>
  <si>
    <t>Jian, Sean</t>
  </si>
  <si>
    <t>Mau, Manet</t>
  </si>
  <si>
    <t>Strand, Eric</t>
  </si>
  <si>
    <t>Todd, Andrew</t>
  </si>
  <si>
    <t>Truong, Ngale</t>
  </si>
  <si>
    <t>Conlon, Bryan</t>
  </si>
  <si>
    <t>Larrousse, Mary</t>
  </si>
  <si>
    <t>Lee, Jonathan</t>
  </si>
  <si>
    <t>Patel, Ankit</t>
  </si>
  <si>
    <t>Wohler, Walter</t>
  </si>
  <si>
    <t>Yaninas, Scott</t>
  </si>
  <si>
    <t>Bramante, Rich</t>
  </si>
  <si>
    <t>Isaacson, Steve</t>
  </si>
  <si>
    <t>Kulma, Marty</t>
  </si>
  <si>
    <t>Oreper, Dave</t>
  </si>
  <si>
    <t>Passero, Cynthia</t>
  </si>
  <si>
    <t>Perkins, Ed</t>
  </si>
  <si>
    <t>Raman, Vijay</t>
  </si>
  <si>
    <t>Simons, Thorsten</t>
  </si>
  <si>
    <t>Functional Team</t>
  </si>
  <si>
    <t>QA</t>
  </si>
  <si>
    <t>Dev</t>
  </si>
  <si>
    <t>Auto</t>
  </si>
  <si>
    <t>Characterization</t>
  </si>
  <si>
    <t>Doc</t>
  </si>
  <si>
    <t>Sustaining</t>
  </si>
  <si>
    <t>DevOps</t>
  </si>
  <si>
    <t>PO</t>
  </si>
  <si>
    <t>Tech</t>
  </si>
  <si>
    <t>Admin</t>
  </si>
  <si>
    <t>UI</t>
  </si>
  <si>
    <t>Tag</t>
  </si>
  <si>
    <t>Team Size</t>
  </si>
  <si>
    <t>Lead</t>
  </si>
  <si>
    <t>TBH</t>
  </si>
  <si>
    <t>HCP replacement</t>
  </si>
  <si>
    <t>HCPAW-FY14 count</t>
  </si>
  <si>
    <t>Notes</t>
  </si>
  <si>
    <t>HCP Replacement count</t>
  </si>
  <si>
    <t>HCP - current</t>
  </si>
  <si>
    <t>HCP (Rhino) - current</t>
  </si>
  <si>
    <t>HCP-AW - current</t>
  </si>
  <si>
    <t>Waltham Total - current</t>
  </si>
  <si>
    <t>Requisition</t>
  </si>
  <si>
    <t>Prochniak, Stephen</t>
  </si>
  <si>
    <t>Gustafson, Alex</t>
  </si>
  <si>
    <t>Backfill for HCP-AW sustaining</t>
  </si>
  <si>
    <t>Gallerani, Steve</t>
  </si>
  <si>
    <t>Source</t>
  </si>
  <si>
    <t>Robinson, Sean</t>
  </si>
  <si>
    <t>Referral</t>
  </si>
  <si>
    <t>HDS</t>
  </si>
  <si>
    <t>NetPolarity</t>
  </si>
  <si>
    <t>Insight Global</t>
  </si>
  <si>
    <t>Tech - current</t>
  </si>
  <si>
    <t>List, Andrew</t>
  </si>
  <si>
    <t>Func Team Totals</t>
  </si>
  <si>
    <t>Total</t>
  </si>
  <si>
    <t>Open</t>
  </si>
  <si>
    <t>Note: Expats not counted in Team Totals</t>
  </si>
  <si>
    <t>HCP - hiring target</t>
  </si>
  <si>
    <t>HCP - team target</t>
  </si>
  <si>
    <t>NOTES</t>
  </si>
  <si>
    <t>Hiring target - reflects the target based on the current IC entries and open reqs. May be different from team target because we are temporarily overstaffing one team, etc.</t>
  </si>
  <si>
    <t>Team target - the desired number of members for each team based on the staffing model.  This is where we want to end up long term.</t>
  </si>
  <si>
    <t>Admin - current</t>
  </si>
  <si>
    <t>Admin - hiring target</t>
  </si>
  <si>
    <t>Admin - team target</t>
  </si>
  <si>
    <t>Petit Frere, Betty</t>
  </si>
  <si>
    <t>S1</t>
  </si>
  <si>
    <t>HCP (Rhino) - hiring target</t>
  </si>
  <si>
    <t>HCP (Rhino) - team target</t>
  </si>
  <si>
    <t>HCP-AW - hiring target</t>
  </si>
  <si>
    <t>HCP-AW - team target</t>
  </si>
  <si>
    <t>Tech - hiring target</t>
  </si>
  <si>
    <t>Tech - team target</t>
  </si>
  <si>
    <t>Waltham Total - hiring target</t>
  </si>
  <si>
    <t>Waltham Total - team target</t>
  </si>
  <si>
    <t>Backfill HannahM during Grand Jury (Mar-Apr). 28 hrs/week</t>
  </si>
  <si>
    <t>Backfill for JB.  Need start date and formal offer.  Need to bump req from P3 to P4.</t>
  </si>
  <si>
    <t>HCP-AW Replacement</t>
  </si>
  <si>
    <t>Departure Reason</t>
  </si>
  <si>
    <t>Ebaid, Ahmed</t>
  </si>
  <si>
    <r>
      <t xml:space="preserve">Backfill for Thorsten.  ZeroChaos opening req </t>
    </r>
    <r>
      <rPr>
        <b/>
        <sz val="12"/>
        <color theme="1"/>
        <rFont val="Calibri"/>
        <family val="2"/>
        <scheme val="minor"/>
      </rPr>
      <t>012250</t>
    </r>
    <r>
      <rPr>
        <sz val="12"/>
        <color theme="1"/>
        <rFont val="Calibri"/>
        <family val="2"/>
        <scheme val="minor"/>
      </rPr>
      <t xml:space="preserve"> for their tracking.</t>
    </r>
  </si>
  <si>
    <t>Cooper, Rob</t>
  </si>
  <si>
    <t>Clifford, Ben</t>
  </si>
  <si>
    <t>Start Date</t>
  </si>
  <si>
    <t>PIP</t>
  </si>
  <si>
    <t>Personal Reasons</t>
  </si>
  <si>
    <t>Bateman, Brandon</t>
  </si>
  <si>
    <t>Leich, Alex</t>
  </si>
  <si>
    <t>Chen, Xizhao (Kevin)</t>
  </si>
  <si>
    <t>Wilder, Hank</t>
  </si>
  <si>
    <t>Contract ended (Hannah returned)</t>
  </si>
  <si>
    <t>Wanted to be closer to sales</t>
  </si>
  <si>
    <t>Yergeau, Bryan</t>
  </si>
  <si>
    <t>Intern</t>
  </si>
  <si>
    <t>Summer intern for HCP/Rhino, 4/28 - 8/23. Referral from NickD.</t>
  </si>
  <si>
    <t>Persons, Mark</t>
  </si>
  <si>
    <t>Fodera, Frank</t>
  </si>
  <si>
    <t>Referrer</t>
  </si>
  <si>
    <t>Eric Wilson</t>
  </si>
  <si>
    <t>Wayne Chestna</t>
  </si>
  <si>
    <t>Rhino replacement</t>
  </si>
  <si>
    <t>Backfill for HCP sustaining</t>
  </si>
  <si>
    <t>Performance</t>
  </si>
  <si>
    <t>PIP - Performance</t>
  </si>
  <si>
    <t>Departure Date</t>
  </si>
  <si>
    <t>Hosoi, Keita</t>
  </si>
  <si>
    <t>Shimizu, Masahiro</t>
  </si>
  <si>
    <t>Harty, Meaghan</t>
  </si>
  <si>
    <t>Bishop, Jon</t>
  </si>
  <si>
    <t>Brady, Julie</t>
  </si>
  <si>
    <t>Summer intern, 6/2 - 8/22</t>
  </si>
  <si>
    <t>Backfill for Kamlesh Nahata.</t>
  </si>
  <si>
    <t xml:space="preserve">HeatherD backfill. </t>
  </si>
  <si>
    <r>
      <rPr>
        <b/>
        <sz val="12"/>
        <color rgb="FF000000"/>
        <rFont val="Calibri"/>
        <family val="2"/>
        <scheme val="minor"/>
      </rPr>
      <t>Hold until Oct</t>
    </r>
    <r>
      <rPr>
        <sz val="12"/>
        <color rgb="FF000000"/>
        <rFont val="Calibri"/>
        <family val="2"/>
        <scheme val="minor"/>
      </rPr>
      <t>. unless Insu has savings in AW investment budget</t>
    </r>
  </si>
  <si>
    <r>
      <rPr>
        <b/>
        <sz val="12"/>
        <color theme="1"/>
        <rFont val="Calibri"/>
        <family val="2"/>
        <scheme val="minor"/>
      </rPr>
      <t xml:space="preserve">Hold until Oct. for AW budget. </t>
    </r>
    <r>
      <rPr>
        <sz val="12"/>
        <color theme="1"/>
        <rFont val="Calibri"/>
        <family val="2"/>
        <scheme val="minor"/>
      </rPr>
      <t xml:space="preserve">Backfill PO from CynthiaP.  </t>
    </r>
    <r>
      <rPr>
        <b/>
        <sz val="12"/>
        <color theme="1"/>
        <rFont val="Calibri"/>
        <family val="2"/>
        <scheme val="minor"/>
      </rPr>
      <t>Hold for MarkB return - ~October.</t>
    </r>
  </si>
  <si>
    <r>
      <rPr>
        <b/>
        <sz val="12"/>
        <color rgb="FF000000"/>
        <rFont val="Calibri"/>
        <family val="2"/>
        <scheme val="minor"/>
      </rPr>
      <t>Hold until Oct</t>
    </r>
    <r>
      <rPr>
        <sz val="12"/>
        <color rgb="FF000000"/>
        <rFont val="Calibri"/>
        <family val="2"/>
        <scheme val="minor"/>
      </rPr>
      <t xml:space="preserve"> for AW budget.   Was characterization.</t>
    </r>
  </si>
  <si>
    <t>HCPAW-FY14 Invest</t>
  </si>
  <si>
    <t>HCPAW-FY14 Invest Invest</t>
  </si>
  <si>
    <t>Found a better offer.  He was lingering, was not going to be a long term success.</t>
  </si>
  <si>
    <t>Wright, Tyler</t>
  </si>
  <si>
    <t>HDDS/Maldives FY14 Investment</t>
  </si>
  <si>
    <t>HDDS</t>
  </si>
  <si>
    <t>Transferred to HiCmd team</t>
  </si>
  <si>
    <t>Chen, Justin</t>
  </si>
  <si>
    <t>Penny</t>
  </si>
  <si>
    <t>FCS-HCP-FY14 Investment</t>
  </si>
  <si>
    <t>Hold until Oct. for FCS budget.  Penny</t>
  </si>
  <si>
    <t>Hold until Jan. for FCS budget.  Penny</t>
  </si>
  <si>
    <t>Klein, Alex</t>
  </si>
  <si>
    <t>HDDS - current</t>
  </si>
  <si>
    <t>HDDS - hiring target</t>
  </si>
  <si>
    <t>HDDS - team target</t>
  </si>
  <si>
    <t>Moved to Sustaining 6/30/14 or so.</t>
  </si>
  <si>
    <t>Evelson, Nick</t>
  </si>
  <si>
    <t>ClearPoint</t>
  </si>
  <si>
    <t>Could use a dev mgr (8+1)</t>
  </si>
  <si>
    <t>DevOps - team target</t>
  </si>
  <si>
    <t>DevOps - hiring target</t>
  </si>
  <si>
    <t>DevOps - current</t>
  </si>
  <si>
    <t>Hire Date</t>
  </si>
  <si>
    <t>paid through 7/25/14</t>
  </si>
  <si>
    <t>Row Labels</t>
  </si>
  <si>
    <t>Grand Total</t>
  </si>
  <si>
    <t>Count of Name</t>
  </si>
  <si>
    <t>(blank)</t>
  </si>
  <si>
    <t xml:space="preserve"> </t>
  </si>
  <si>
    <t>Updated</t>
  </si>
  <si>
    <t>Manager</t>
  </si>
  <si>
    <t>Rogers, Rich</t>
  </si>
  <si>
    <t>Cross</t>
  </si>
  <si>
    <t>Title</t>
  </si>
  <si>
    <t>Software Engineer</t>
  </si>
  <si>
    <t>Senior Director, Engineering</t>
  </si>
  <si>
    <t>Specialist, SW Engineer</t>
  </si>
  <si>
    <t>Senior, SW Engineer</t>
  </si>
  <si>
    <t>Associate, SW Engineer</t>
  </si>
  <si>
    <t>Master, SW Engineer</t>
  </si>
  <si>
    <t>Senior Manager, Engineering</t>
  </si>
  <si>
    <t>Specialist, SWQA Engineer</t>
  </si>
  <si>
    <t>SWQA Engineer</t>
  </si>
  <si>
    <t>Kohli, Nishant Total</t>
  </si>
  <si>
    <t>Liang, Candy Total</t>
  </si>
  <si>
    <t>Anderson, Vic Total</t>
  </si>
  <si>
    <t>Burnham, John Total</t>
  </si>
  <si>
    <t>Chestna, Wayne Total</t>
  </si>
  <si>
    <t>Isherwood, Ben Total</t>
  </si>
  <si>
    <t>Lin, Wayzen Total</t>
  </si>
  <si>
    <t>Pannese, Donald Total</t>
  </si>
  <si>
    <t>Pinkney, Dave Total</t>
  </si>
  <si>
    <t>Rogers, Rich Total</t>
  </si>
  <si>
    <t>(blank) Total</t>
  </si>
  <si>
    <t>TBH1</t>
  </si>
  <si>
    <t>TBH2</t>
  </si>
  <si>
    <t>TBH3</t>
  </si>
  <si>
    <t>TBH4</t>
  </si>
  <si>
    <t>TBH5</t>
  </si>
  <si>
    <t>TBH6</t>
  </si>
  <si>
    <t>TBH7</t>
  </si>
  <si>
    <t>TBH8</t>
  </si>
  <si>
    <t>TBH9</t>
  </si>
  <si>
    <t>TBH10</t>
  </si>
  <si>
    <t>TBH11</t>
  </si>
  <si>
    <t>TBH12</t>
  </si>
  <si>
    <t>TBH13</t>
  </si>
  <si>
    <t>TBH14</t>
  </si>
  <si>
    <t>TBH15</t>
  </si>
  <si>
    <t>TBH16</t>
  </si>
  <si>
    <t>TBH20</t>
  </si>
  <si>
    <t>TBH21</t>
  </si>
  <si>
    <t>TBH22</t>
  </si>
  <si>
    <t>TBH23</t>
  </si>
  <si>
    <t>Backfill for Cody Lee.</t>
  </si>
  <si>
    <t>Backfill for Brian O'Halloran.</t>
  </si>
  <si>
    <r>
      <t xml:space="preserve">Backfill for BenI.  </t>
    </r>
    <r>
      <rPr>
        <b/>
        <sz val="12"/>
        <color rgb="FF000000"/>
        <rFont val="Calibri"/>
        <family val="2"/>
        <scheme val="minor"/>
      </rPr>
      <t>Need to open.</t>
    </r>
  </si>
  <si>
    <t>Replacement for Ankit Patel</t>
  </si>
  <si>
    <t>Backfill for ChrisAl.</t>
  </si>
  <si>
    <t>TBH24</t>
  </si>
  <si>
    <r>
      <t>Backfill for Manet (goes to Auto).</t>
    </r>
    <r>
      <rPr>
        <b/>
        <sz val="12"/>
        <color rgb="FF000000"/>
        <rFont val="Calibri"/>
        <family val="2"/>
        <scheme val="minor"/>
      </rPr>
      <t xml:space="preserve"> Need to open.</t>
    </r>
  </si>
  <si>
    <t>Free</t>
  </si>
  <si>
    <r>
      <t xml:space="preserve">Backfill for EddieR.  </t>
    </r>
    <r>
      <rPr>
        <b/>
        <sz val="12"/>
        <color rgb="FF000000"/>
        <rFont val="Calibri"/>
        <family val="2"/>
        <scheme val="minor"/>
      </rPr>
      <t>Need to open on 8/1</t>
    </r>
  </si>
  <si>
    <t xml:space="preserve">Backfill for Amrut. </t>
  </si>
  <si>
    <t>Backfill for CynthiaP</t>
  </si>
  <si>
    <t>Consultant Total</t>
  </si>
  <si>
    <t>FTE Total</t>
  </si>
  <si>
    <t>Investment Tag</t>
  </si>
  <si>
    <t>Senior, SWQA Engineer</t>
  </si>
  <si>
    <r>
      <t xml:space="preserve">Sept. Penny.  Listed as a </t>
    </r>
    <r>
      <rPr>
        <b/>
        <sz val="12"/>
        <color rgb="FF000000"/>
        <rFont val="Calibri"/>
        <family val="2"/>
        <scheme val="minor"/>
      </rPr>
      <t>P3</t>
    </r>
    <r>
      <rPr>
        <sz val="12"/>
        <color rgb="FF000000"/>
        <rFont val="Calibri"/>
        <family val="2"/>
        <scheme val="minor"/>
      </rPr>
      <t xml:space="preserve"> in the model.</t>
    </r>
  </si>
  <si>
    <r>
      <t xml:space="preserve">October. Penny.  </t>
    </r>
    <r>
      <rPr>
        <b/>
        <sz val="12"/>
        <color rgb="FF000000"/>
        <rFont val="Calibri"/>
        <family val="2"/>
        <scheme val="minor"/>
      </rPr>
      <t>CONFIRM APPROVAL.</t>
    </r>
  </si>
  <si>
    <t>Tan, Zhiyang</t>
  </si>
  <si>
    <t>HCPAW-FY14 Invest / EC-FY14</t>
  </si>
  <si>
    <t xml:space="preserve">HCP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</si>
</sst>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6500"/>
      <name val="Calibri"/>
      <family val="2"/>
      <scheme val="minor"/>
    </font>
    <font>
      <sz val="12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8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right"/>
    </xf>
    <xf numFmtId="0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Font="1"/>
    <xf numFmtId="164" fontId="4" fillId="0" borderId="0" xfId="0" applyNumberFormat="1" applyFont="1" applyAlignment="1">
      <alignment horizontal="center"/>
    </xf>
    <xf numFmtId="14" fontId="0" fillId="0" borderId="0" xfId="0" applyNumberFormat="1"/>
    <xf numFmtId="164" fontId="7" fillId="2" borderId="0" xfId="163" applyNumberFormat="1" applyAlignment="1">
      <alignment horizontal="center"/>
    </xf>
    <xf numFmtId="14" fontId="4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8" fillId="3" borderId="0" xfId="184" applyNumberFormat="1" applyAlignment="1">
      <alignment horizontal="center"/>
    </xf>
    <xf numFmtId="164" fontId="0" fillId="0" borderId="0" xfId="0" applyNumberFormat="1" applyAlignment="1">
      <alignment horizontal="center" vertical="top"/>
    </xf>
    <xf numFmtId="0" fontId="9" fillId="4" borderId="0" xfId="241"/>
    <xf numFmtId="0" fontId="1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2" fontId="0" fillId="0" borderId="0" xfId="0" applyNumberFormat="1"/>
    <xf numFmtId="0" fontId="7" fillId="2" borderId="0" xfId="163"/>
    <xf numFmtId="0" fontId="6" fillId="0" borderId="0" xfId="0" applyFont="1"/>
  </cellXfs>
  <cellStyles count="282">
    <cellStyle name="Bad" xfId="163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Good" xfId="24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Neutral" xfId="184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17C2DA-895F-4E22-B36D-8D2DD7B0C129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33C675B9-845A-486D-AFC7-C0C186D4F539}">
      <dgm:prSet/>
      <dgm:spPr/>
      <dgm:t>
        <a:bodyPr/>
        <a:lstStyle/>
        <a:p>
          <a:r>
            <a:rPr lang="en-US"/>
            <a:t>Auto		</a:t>
          </a:r>
        </a:p>
      </dgm:t>
    </dgm:pt>
    <dgm:pt modelId="{31EC3E64-6B42-42A8-8E96-E5C723B86E7E}" type="parTrans" cxnId="{45341366-A9D5-4DA8-9B1F-47779DF946E9}">
      <dgm:prSet/>
      <dgm:spPr/>
      <dgm:t>
        <a:bodyPr/>
        <a:lstStyle/>
        <a:p>
          <a:endParaRPr lang="en-US"/>
        </a:p>
      </dgm:t>
    </dgm:pt>
    <dgm:pt modelId="{13851D1E-5EBF-4BF3-A493-AEE71132CCAE}" type="sibTrans" cxnId="{45341366-A9D5-4DA8-9B1F-47779DF946E9}">
      <dgm:prSet/>
      <dgm:spPr/>
      <dgm:t>
        <a:bodyPr/>
        <a:lstStyle/>
        <a:p>
          <a:endParaRPr lang="en-US"/>
        </a:p>
      </dgm:t>
    </dgm:pt>
    <dgm:pt modelId="{19D79DCE-B94C-42D2-8734-29AD66257565}">
      <dgm:prSet/>
      <dgm:spPr/>
      <dgm:t>
        <a:bodyPr/>
        <a:lstStyle/>
        <a:p>
          <a:r>
            <a:rPr lang="en-US"/>
            <a:t>Chen, Justin    Associate, SW Engineer</a:t>
          </a:r>
        </a:p>
      </dgm:t>
    </dgm:pt>
    <dgm:pt modelId="{B265AAD9-1D30-4848-95B3-F8E642BE61C6}" type="parTrans" cxnId="{512C07E9-402B-4A94-BE07-AB48C3251471}">
      <dgm:prSet/>
      <dgm:spPr/>
      <dgm:t>
        <a:bodyPr/>
        <a:lstStyle/>
        <a:p>
          <a:endParaRPr lang="en-US"/>
        </a:p>
      </dgm:t>
    </dgm:pt>
    <dgm:pt modelId="{E2356292-3664-470A-ADD8-EB4DDC064E1A}" type="sibTrans" cxnId="{512C07E9-402B-4A94-BE07-AB48C3251471}">
      <dgm:prSet/>
      <dgm:spPr/>
      <dgm:t>
        <a:bodyPr/>
        <a:lstStyle/>
        <a:p>
          <a:endParaRPr lang="en-US"/>
        </a:p>
      </dgm:t>
    </dgm:pt>
    <dgm:pt modelId="{C851F3BB-292A-44D8-A0E3-23329720B89D}">
      <dgm:prSet/>
      <dgm:spPr/>
      <dgm:t>
        <a:bodyPr/>
        <a:lstStyle/>
        <a:p>
          <a:r>
            <a:rPr lang="en-US"/>
            <a:t>Ebaid, Ahmed    Associate, SW Engineer</a:t>
          </a:r>
        </a:p>
      </dgm:t>
    </dgm:pt>
    <dgm:pt modelId="{5DB5012E-9F82-4DDE-A7D8-E626B540B832}" type="parTrans" cxnId="{CD0FD059-DF5B-49E2-B35A-DE64D78F2C1A}">
      <dgm:prSet/>
      <dgm:spPr/>
      <dgm:t>
        <a:bodyPr/>
        <a:lstStyle/>
        <a:p>
          <a:endParaRPr lang="en-US"/>
        </a:p>
      </dgm:t>
    </dgm:pt>
    <dgm:pt modelId="{9BA048FB-03E6-4A21-9A68-6CFDC19C6940}" type="sibTrans" cxnId="{CD0FD059-DF5B-49E2-B35A-DE64D78F2C1A}">
      <dgm:prSet/>
      <dgm:spPr/>
      <dgm:t>
        <a:bodyPr/>
        <a:lstStyle/>
        <a:p>
          <a:endParaRPr lang="en-US"/>
        </a:p>
      </dgm:t>
    </dgm:pt>
    <dgm:pt modelId="{E1523395-99FF-4A7B-8A89-75AE9CA8B2F9}">
      <dgm:prSet/>
      <dgm:spPr/>
      <dgm:t>
        <a:bodyPr/>
        <a:lstStyle/>
        <a:p>
          <a:r>
            <a:rPr lang="en-US"/>
            <a:t>Pfahl, Matt    Senior, SW Engineer</a:t>
          </a:r>
        </a:p>
      </dgm:t>
    </dgm:pt>
    <dgm:pt modelId="{3BC3967B-E7D3-4E12-A748-E0638960D2D9}" type="parTrans" cxnId="{FBA06BA0-02B0-45F3-A0A4-0421650F453A}">
      <dgm:prSet/>
      <dgm:spPr/>
      <dgm:t>
        <a:bodyPr/>
        <a:lstStyle/>
        <a:p>
          <a:endParaRPr lang="en-US"/>
        </a:p>
      </dgm:t>
    </dgm:pt>
    <dgm:pt modelId="{DFE2DFC4-FF55-4DC9-B443-EA281E96FA05}" type="sibTrans" cxnId="{FBA06BA0-02B0-45F3-A0A4-0421650F453A}">
      <dgm:prSet/>
      <dgm:spPr/>
      <dgm:t>
        <a:bodyPr/>
        <a:lstStyle/>
        <a:p>
          <a:endParaRPr lang="en-US"/>
        </a:p>
      </dgm:t>
    </dgm:pt>
    <dgm:pt modelId="{A96CA947-BF12-4BCD-9ED2-C1E2694CF214}">
      <dgm:prSet/>
      <dgm:spPr/>
      <dgm:t>
        <a:bodyPr/>
        <a:lstStyle/>
        <a:p>
          <a:r>
            <a:rPr lang="en-US"/>
            <a:t>TBH24 </a:t>
          </a:r>
        </a:p>
        <a:p>
          <a:r>
            <a:rPr lang="en-US"/>
            <a:t>Software Engineer</a:t>
          </a:r>
        </a:p>
      </dgm:t>
    </dgm:pt>
    <dgm:pt modelId="{8458647B-2263-4081-A717-A1EBF0F464EE}" type="parTrans" cxnId="{6269A041-38B0-487B-BF45-C36974774F88}">
      <dgm:prSet/>
      <dgm:spPr/>
      <dgm:t>
        <a:bodyPr/>
        <a:lstStyle/>
        <a:p>
          <a:endParaRPr lang="en-US"/>
        </a:p>
      </dgm:t>
    </dgm:pt>
    <dgm:pt modelId="{B123C3F0-6841-417A-8C7F-608743A0548B}" type="sibTrans" cxnId="{6269A041-38B0-487B-BF45-C36974774F88}">
      <dgm:prSet/>
      <dgm:spPr/>
      <dgm:t>
        <a:bodyPr/>
        <a:lstStyle/>
        <a:p>
          <a:endParaRPr lang="en-US"/>
        </a:p>
      </dgm:t>
    </dgm:pt>
    <dgm:pt modelId="{3453BDCC-A095-469C-9361-C403A69A605E}">
      <dgm:prSet/>
      <dgm:spPr/>
      <dgm:t>
        <a:bodyPr/>
        <a:lstStyle/>
        <a:p>
          <a:r>
            <a:rPr lang="en-US"/>
            <a:t>Characterization		</a:t>
          </a:r>
        </a:p>
      </dgm:t>
    </dgm:pt>
    <dgm:pt modelId="{C2DF998D-386F-4D8D-BACD-34C869BAB99F}" type="parTrans" cxnId="{3889F24D-FAC6-4A73-8CA1-02D0B749145E}">
      <dgm:prSet/>
      <dgm:spPr/>
      <dgm:t>
        <a:bodyPr/>
        <a:lstStyle/>
        <a:p>
          <a:endParaRPr lang="en-US"/>
        </a:p>
      </dgm:t>
    </dgm:pt>
    <dgm:pt modelId="{A106F585-CDC5-4BEA-866C-25BC0A8A8873}" type="sibTrans" cxnId="{3889F24D-FAC6-4A73-8CA1-02D0B749145E}">
      <dgm:prSet/>
      <dgm:spPr/>
      <dgm:t>
        <a:bodyPr/>
        <a:lstStyle/>
        <a:p>
          <a:endParaRPr lang="en-US"/>
        </a:p>
      </dgm:t>
    </dgm:pt>
    <dgm:pt modelId="{5AAAA9AC-8600-4401-B282-3DC412A9DC12}">
      <dgm:prSet/>
      <dgm:spPr/>
      <dgm:t>
        <a:bodyPr/>
        <a:lstStyle/>
        <a:p>
          <a:r>
            <a:rPr lang="en-US"/>
            <a:t>Chang, Albert    Software Engineer</a:t>
          </a:r>
        </a:p>
      </dgm:t>
    </dgm:pt>
    <dgm:pt modelId="{DE508D97-AA3E-4C63-A099-7DF340A79A94}" type="parTrans" cxnId="{F6EB01D7-8B44-4B89-9B0B-6207AB343F31}">
      <dgm:prSet/>
      <dgm:spPr/>
      <dgm:t>
        <a:bodyPr/>
        <a:lstStyle/>
        <a:p>
          <a:endParaRPr lang="en-US"/>
        </a:p>
      </dgm:t>
    </dgm:pt>
    <dgm:pt modelId="{6021EBF4-80C7-4267-8279-573CCF320718}" type="sibTrans" cxnId="{F6EB01D7-8B44-4B89-9B0B-6207AB343F31}">
      <dgm:prSet/>
      <dgm:spPr/>
      <dgm:t>
        <a:bodyPr/>
        <a:lstStyle/>
        <a:p>
          <a:endParaRPr lang="en-US"/>
        </a:p>
      </dgm:t>
    </dgm:pt>
    <dgm:pt modelId="{323A7C75-D774-4C4C-833A-2E17C996C342}">
      <dgm:prSet/>
      <dgm:spPr/>
      <dgm:t>
        <a:bodyPr/>
        <a:lstStyle/>
        <a:p>
          <a:r>
            <a:rPr lang="en-US"/>
            <a:t>Kulma, Marty    Specialist, SW Engineer</a:t>
          </a:r>
        </a:p>
      </dgm:t>
    </dgm:pt>
    <dgm:pt modelId="{58AB680D-A3D4-4EA8-B54D-485506F9CA6B}" type="parTrans" cxnId="{2802C1E8-A5FE-4A6C-B5E6-3BCC6DDB66C3}">
      <dgm:prSet/>
      <dgm:spPr/>
      <dgm:t>
        <a:bodyPr/>
        <a:lstStyle/>
        <a:p>
          <a:endParaRPr lang="en-US"/>
        </a:p>
      </dgm:t>
    </dgm:pt>
    <dgm:pt modelId="{ABE4AC9F-1881-4A00-8D61-7B35C0FB63F0}" type="sibTrans" cxnId="{2802C1E8-A5FE-4A6C-B5E6-3BCC6DDB66C3}">
      <dgm:prSet/>
      <dgm:spPr/>
      <dgm:t>
        <a:bodyPr/>
        <a:lstStyle/>
        <a:p>
          <a:endParaRPr lang="en-US"/>
        </a:p>
      </dgm:t>
    </dgm:pt>
    <dgm:pt modelId="{76A87ED3-2D50-423F-B568-862EF87DD98D}">
      <dgm:prSet/>
      <dgm:spPr/>
      <dgm:t>
        <a:bodyPr/>
        <a:lstStyle/>
        <a:p>
          <a:r>
            <a:rPr lang="en-US"/>
            <a:t>Larrousse, Mary    Associate, SW Engineer</a:t>
          </a:r>
        </a:p>
      </dgm:t>
    </dgm:pt>
    <dgm:pt modelId="{3FA1796E-B685-4A1B-B599-31938FCC8F13}" type="parTrans" cxnId="{71A35283-8559-4B80-8254-32F0540D1CC3}">
      <dgm:prSet/>
      <dgm:spPr/>
      <dgm:t>
        <a:bodyPr/>
        <a:lstStyle/>
        <a:p>
          <a:endParaRPr lang="en-US"/>
        </a:p>
      </dgm:t>
    </dgm:pt>
    <dgm:pt modelId="{FD1EA229-CD04-4005-BA71-D7E61DDB2A11}" type="sibTrans" cxnId="{71A35283-8559-4B80-8254-32F0540D1CC3}">
      <dgm:prSet/>
      <dgm:spPr/>
      <dgm:t>
        <a:bodyPr/>
        <a:lstStyle/>
        <a:p>
          <a:endParaRPr lang="en-US"/>
        </a:p>
      </dgm:t>
    </dgm:pt>
    <dgm:pt modelId="{3AE59848-0538-4710-AADE-4ED6A63B211B}">
      <dgm:prSet/>
      <dgm:spPr/>
      <dgm:t>
        <a:bodyPr/>
        <a:lstStyle/>
        <a:p>
          <a:r>
            <a:rPr lang="en-US"/>
            <a:t>Perkins, Ed    Specialist, SWQA Engineer</a:t>
          </a:r>
        </a:p>
      </dgm:t>
    </dgm:pt>
    <dgm:pt modelId="{4B749B47-1249-4C72-90EC-FF78124FEE2B}" type="parTrans" cxnId="{66C5993F-FEFE-4CE5-90AF-BDF9353270D8}">
      <dgm:prSet/>
      <dgm:spPr/>
      <dgm:t>
        <a:bodyPr/>
        <a:lstStyle/>
        <a:p>
          <a:endParaRPr lang="en-US"/>
        </a:p>
      </dgm:t>
    </dgm:pt>
    <dgm:pt modelId="{1DA50FAD-7487-4DC7-B085-E285C3C5C696}" type="sibTrans" cxnId="{66C5993F-FEFE-4CE5-90AF-BDF9353270D8}">
      <dgm:prSet/>
      <dgm:spPr/>
      <dgm:t>
        <a:bodyPr/>
        <a:lstStyle/>
        <a:p>
          <a:endParaRPr lang="en-US"/>
        </a:p>
      </dgm:t>
    </dgm:pt>
    <dgm:pt modelId="{A2F5E4C8-222F-427F-86D5-D9B91A94C035}">
      <dgm:prSet/>
      <dgm:spPr/>
      <dgm:t>
        <a:bodyPr/>
        <a:lstStyle/>
        <a:p>
          <a:r>
            <a:rPr lang="en-US"/>
            <a:t>Dev		</a:t>
          </a:r>
        </a:p>
      </dgm:t>
    </dgm:pt>
    <dgm:pt modelId="{4B2B034F-D236-4771-AA82-8ED4581F2735}" type="parTrans" cxnId="{C58A17E7-DB74-42F2-AB1F-C8991AFD25DF}">
      <dgm:prSet/>
      <dgm:spPr/>
      <dgm:t>
        <a:bodyPr/>
        <a:lstStyle/>
        <a:p>
          <a:endParaRPr lang="en-US"/>
        </a:p>
      </dgm:t>
    </dgm:pt>
    <dgm:pt modelId="{D67B9820-5D96-496D-A9F1-A449FCE9B076}" type="sibTrans" cxnId="{C58A17E7-DB74-42F2-AB1F-C8991AFD25DF}">
      <dgm:prSet/>
      <dgm:spPr/>
      <dgm:t>
        <a:bodyPr/>
        <a:lstStyle/>
        <a:p>
          <a:endParaRPr lang="en-US"/>
        </a:p>
      </dgm:t>
    </dgm:pt>
    <dgm:pt modelId="{28F6EF35-E81E-486B-A2C9-4100E073B104}">
      <dgm:prSet/>
      <dgm:spPr/>
      <dgm:t>
        <a:bodyPr/>
        <a:lstStyle/>
        <a:p>
          <a:r>
            <a:rPr lang="en-US"/>
            <a:t>Almonte, Brendan    Software Engineer</a:t>
          </a:r>
        </a:p>
      </dgm:t>
    </dgm:pt>
    <dgm:pt modelId="{6E179B6C-EAB1-4D1D-B2E2-B6EB517B25BB}" type="parTrans" cxnId="{BAC64BB1-932D-47EB-8787-909AA57E2510}">
      <dgm:prSet/>
      <dgm:spPr/>
      <dgm:t>
        <a:bodyPr/>
        <a:lstStyle/>
        <a:p>
          <a:endParaRPr lang="en-US"/>
        </a:p>
      </dgm:t>
    </dgm:pt>
    <dgm:pt modelId="{E1CECF0B-32C1-41F4-B1DB-80F3D5FF0901}" type="sibTrans" cxnId="{BAC64BB1-932D-47EB-8787-909AA57E2510}">
      <dgm:prSet/>
      <dgm:spPr/>
      <dgm:t>
        <a:bodyPr/>
        <a:lstStyle/>
        <a:p>
          <a:endParaRPr lang="en-US"/>
        </a:p>
      </dgm:t>
    </dgm:pt>
    <dgm:pt modelId="{5E5E5878-9C91-4288-9F90-674154E3589F}">
      <dgm:prSet/>
      <dgm:spPr/>
      <dgm:t>
        <a:bodyPr/>
        <a:lstStyle/>
        <a:p>
          <a:r>
            <a:rPr lang="en-US"/>
            <a:t>Apte, Sameer    Specialist, SW Engineer</a:t>
          </a:r>
        </a:p>
      </dgm:t>
    </dgm:pt>
    <dgm:pt modelId="{EBAA04C3-EF2B-4DF8-91AE-72BD16EC0588}" type="parTrans" cxnId="{1A1452E6-64D2-4995-AF10-3358F0E23B41}">
      <dgm:prSet/>
      <dgm:spPr/>
      <dgm:t>
        <a:bodyPr/>
        <a:lstStyle/>
        <a:p>
          <a:endParaRPr lang="en-US"/>
        </a:p>
      </dgm:t>
    </dgm:pt>
    <dgm:pt modelId="{5515535D-2B82-472F-AAB6-5004A10D1546}" type="sibTrans" cxnId="{1A1452E6-64D2-4995-AF10-3358F0E23B41}">
      <dgm:prSet/>
      <dgm:spPr/>
      <dgm:t>
        <a:bodyPr/>
        <a:lstStyle/>
        <a:p>
          <a:endParaRPr lang="en-US"/>
        </a:p>
      </dgm:t>
    </dgm:pt>
    <dgm:pt modelId="{8506F5E9-DBA0-4C5A-A21E-985F317125FD}">
      <dgm:prSet/>
      <dgm:spPr/>
      <dgm:t>
        <a:bodyPr/>
        <a:lstStyle/>
        <a:p>
          <a:r>
            <a:rPr lang="en-US"/>
            <a:t>Bramante, Rich    Specialist, SW Engineer</a:t>
          </a:r>
        </a:p>
      </dgm:t>
    </dgm:pt>
    <dgm:pt modelId="{B4676A85-DD31-4846-B4AA-15998545693D}" type="parTrans" cxnId="{8901196A-6EDB-4DC9-9344-156E0E37A672}">
      <dgm:prSet/>
      <dgm:spPr/>
      <dgm:t>
        <a:bodyPr/>
        <a:lstStyle/>
        <a:p>
          <a:endParaRPr lang="en-US"/>
        </a:p>
      </dgm:t>
    </dgm:pt>
    <dgm:pt modelId="{C00C7165-E77E-4D12-BDA6-C0433021D3F2}" type="sibTrans" cxnId="{8901196A-6EDB-4DC9-9344-156E0E37A672}">
      <dgm:prSet/>
      <dgm:spPr/>
      <dgm:t>
        <a:bodyPr/>
        <a:lstStyle/>
        <a:p>
          <a:endParaRPr lang="en-US"/>
        </a:p>
      </dgm:t>
    </dgm:pt>
    <dgm:pt modelId="{F294CDDB-9F64-4C5B-80DE-80533A544934}">
      <dgm:prSet/>
      <dgm:spPr/>
      <dgm:t>
        <a:bodyPr/>
        <a:lstStyle/>
        <a:p>
          <a:r>
            <a:rPr lang="en-US"/>
            <a:t>Bryant, Alan    Specialist, SW Engineer</a:t>
          </a:r>
        </a:p>
      </dgm:t>
    </dgm:pt>
    <dgm:pt modelId="{71BDBAD7-9719-4352-B099-6449B6CD02F1}" type="parTrans" cxnId="{D8A4FEE2-CDD7-489F-90ED-E76B25F0E6EA}">
      <dgm:prSet/>
      <dgm:spPr/>
      <dgm:t>
        <a:bodyPr/>
        <a:lstStyle/>
        <a:p>
          <a:endParaRPr lang="en-US"/>
        </a:p>
      </dgm:t>
    </dgm:pt>
    <dgm:pt modelId="{09EF591F-05EA-485A-BF8D-CD75EB57A8A8}" type="sibTrans" cxnId="{D8A4FEE2-CDD7-489F-90ED-E76B25F0E6EA}">
      <dgm:prSet/>
      <dgm:spPr/>
      <dgm:t>
        <a:bodyPr/>
        <a:lstStyle/>
        <a:p>
          <a:endParaRPr lang="en-US"/>
        </a:p>
      </dgm:t>
    </dgm:pt>
    <dgm:pt modelId="{61D7DCF4-F6DF-4C0F-9547-F9DE99A83E30}">
      <dgm:prSet/>
      <dgm:spPr/>
      <dgm:t>
        <a:bodyPr/>
        <a:lstStyle/>
        <a:p>
          <a:r>
            <a:rPr lang="en-US"/>
            <a:t>Cooper, Rob    Senior, SW Engineer</a:t>
          </a:r>
        </a:p>
      </dgm:t>
    </dgm:pt>
    <dgm:pt modelId="{87619584-2F12-41DC-85F3-430DDD185FE6}" type="parTrans" cxnId="{A052C48F-8DCC-492E-A30B-6C7D3200A388}">
      <dgm:prSet/>
      <dgm:spPr/>
      <dgm:t>
        <a:bodyPr/>
        <a:lstStyle/>
        <a:p>
          <a:endParaRPr lang="en-US"/>
        </a:p>
      </dgm:t>
    </dgm:pt>
    <dgm:pt modelId="{EF452666-6ACB-4A3B-89BC-2521AFE41D04}" type="sibTrans" cxnId="{A052C48F-8DCC-492E-A30B-6C7D3200A388}">
      <dgm:prSet/>
      <dgm:spPr/>
      <dgm:t>
        <a:bodyPr/>
        <a:lstStyle/>
        <a:p>
          <a:endParaRPr lang="en-US"/>
        </a:p>
      </dgm:t>
    </dgm:pt>
    <dgm:pt modelId="{B3507E67-5A54-4767-B938-527C8620A7FF}">
      <dgm:prSet/>
      <dgm:spPr/>
      <dgm:t>
        <a:bodyPr/>
        <a:lstStyle/>
        <a:p>
          <a:r>
            <a:rPr lang="en-US"/>
            <a:t>Isaacson, Steve    Specialist, SW Engineer</a:t>
          </a:r>
        </a:p>
      </dgm:t>
    </dgm:pt>
    <dgm:pt modelId="{F62A32B5-95A0-4B13-9CB0-3401081E8A85}" type="parTrans" cxnId="{ECC126B4-CD3F-405A-847B-2AC273BED52A}">
      <dgm:prSet/>
      <dgm:spPr/>
      <dgm:t>
        <a:bodyPr/>
        <a:lstStyle/>
        <a:p>
          <a:endParaRPr lang="en-US"/>
        </a:p>
      </dgm:t>
    </dgm:pt>
    <dgm:pt modelId="{CB61BB52-F7BD-4518-978B-0C1CAB97ED38}" type="sibTrans" cxnId="{ECC126B4-CD3F-405A-847B-2AC273BED52A}">
      <dgm:prSet/>
      <dgm:spPr/>
      <dgm:t>
        <a:bodyPr/>
        <a:lstStyle/>
        <a:p>
          <a:endParaRPr lang="en-US"/>
        </a:p>
      </dgm:t>
    </dgm:pt>
    <dgm:pt modelId="{3538F3BE-A1C8-4B06-B675-42DCBD9A2B4F}">
      <dgm:prSet/>
      <dgm:spPr/>
      <dgm:t>
        <a:bodyPr/>
        <a:lstStyle/>
        <a:p>
          <a:r>
            <a:rPr lang="en-US"/>
            <a:t>Jian, Sean    Specialist, SW Engineer</a:t>
          </a:r>
        </a:p>
      </dgm:t>
    </dgm:pt>
    <dgm:pt modelId="{3B0B75B5-F2B7-4860-96A5-2B6059E8347A}" type="parTrans" cxnId="{227FEB72-39C3-45A9-897C-75B73615B7C4}">
      <dgm:prSet/>
      <dgm:spPr/>
      <dgm:t>
        <a:bodyPr/>
        <a:lstStyle/>
        <a:p>
          <a:endParaRPr lang="en-US"/>
        </a:p>
      </dgm:t>
    </dgm:pt>
    <dgm:pt modelId="{173ACB58-137E-4946-A7FD-9FC05A0D1DE6}" type="sibTrans" cxnId="{227FEB72-39C3-45A9-897C-75B73615B7C4}">
      <dgm:prSet/>
      <dgm:spPr/>
      <dgm:t>
        <a:bodyPr/>
        <a:lstStyle/>
        <a:p>
          <a:endParaRPr lang="en-US"/>
        </a:p>
      </dgm:t>
    </dgm:pt>
    <dgm:pt modelId="{2A6B007E-869F-4BB8-97C9-6E659F95D908}">
      <dgm:prSet/>
      <dgm:spPr/>
      <dgm:t>
        <a:bodyPr/>
        <a:lstStyle/>
        <a:p>
          <a:r>
            <a:rPr lang="en-US"/>
            <a:t>Kostadinov, Alex    Manager, Engineering</a:t>
          </a:r>
        </a:p>
      </dgm:t>
    </dgm:pt>
    <dgm:pt modelId="{7515B439-3B23-4CCD-99C5-BF7C25509EA1}" type="parTrans" cxnId="{D987D99D-E26D-4A04-8CF2-3C13306E6DEC}">
      <dgm:prSet/>
      <dgm:spPr/>
      <dgm:t>
        <a:bodyPr/>
        <a:lstStyle/>
        <a:p>
          <a:endParaRPr lang="en-US"/>
        </a:p>
      </dgm:t>
    </dgm:pt>
    <dgm:pt modelId="{D1799833-EADA-4AC3-97BF-0D0B28248051}" type="sibTrans" cxnId="{D987D99D-E26D-4A04-8CF2-3C13306E6DEC}">
      <dgm:prSet/>
      <dgm:spPr/>
      <dgm:t>
        <a:bodyPr/>
        <a:lstStyle/>
        <a:p>
          <a:endParaRPr lang="en-US"/>
        </a:p>
      </dgm:t>
    </dgm:pt>
    <dgm:pt modelId="{C975E201-D847-4760-8964-58DD61FE5DE4}">
      <dgm:prSet/>
      <dgm:spPr/>
      <dgm:t>
        <a:bodyPr/>
        <a:lstStyle/>
        <a:p>
          <a:r>
            <a:rPr lang="en-US"/>
            <a:t>Prochniak, Stephen    Specialist, SW Engineer</a:t>
          </a:r>
        </a:p>
      </dgm:t>
    </dgm:pt>
    <dgm:pt modelId="{CC1B9661-C66E-47E5-9F21-0DA8D5A469FD}" type="parTrans" cxnId="{4821B176-7E7D-44B7-82E7-AA1E5BC2B024}">
      <dgm:prSet/>
      <dgm:spPr/>
      <dgm:t>
        <a:bodyPr/>
        <a:lstStyle/>
        <a:p>
          <a:endParaRPr lang="en-US"/>
        </a:p>
      </dgm:t>
    </dgm:pt>
    <dgm:pt modelId="{E127F7AA-7DE6-448B-A82E-0C5789A925B1}" type="sibTrans" cxnId="{4821B176-7E7D-44B7-82E7-AA1E5BC2B024}">
      <dgm:prSet/>
      <dgm:spPr/>
      <dgm:t>
        <a:bodyPr/>
        <a:lstStyle/>
        <a:p>
          <a:endParaRPr lang="en-US"/>
        </a:p>
      </dgm:t>
    </dgm:pt>
    <dgm:pt modelId="{7C09007E-B0B9-4EA3-A7BC-D6826A238EF6}">
      <dgm:prSet/>
      <dgm:spPr/>
      <dgm:t>
        <a:bodyPr/>
        <a:lstStyle/>
        <a:p>
          <a:r>
            <a:rPr lang="en-US"/>
            <a:t>Tirado, Beth    Specialist, SW Engineer</a:t>
          </a:r>
        </a:p>
      </dgm:t>
    </dgm:pt>
    <dgm:pt modelId="{15CBE5F3-3E21-4999-8B33-7256BA547677}" type="parTrans" cxnId="{34B643D7-4471-484B-96DD-A14D9E32DC13}">
      <dgm:prSet/>
      <dgm:spPr/>
      <dgm:t>
        <a:bodyPr/>
        <a:lstStyle/>
        <a:p>
          <a:endParaRPr lang="en-US"/>
        </a:p>
      </dgm:t>
    </dgm:pt>
    <dgm:pt modelId="{2C077BC9-FF33-4114-B9F6-F9A61E9CAB5F}" type="sibTrans" cxnId="{34B643D7-4471-484B-96DD-A14D9E32DC13}">
      <dgm:prSet/>
      <dgm:spPr/>
      <dgm:t>
        <a:bodyPr/>
        <a:lstStyle/>
        <a:p>
          <a:endParaRPr lang="en-US"/>
        </a:p>
      </dgm:t>
    </dgm:pt>
    <dgm:pt modelId="{40D6B296-A2D2-4BCD-87B1-B6458CF6DAD7}">
      <dgm:prSet/>
      <dgm:spPr/>
      <dgm:t>
        <a:bodyPr/>
        <a:lstStyle/>
        <a:p>
          <a:r>
            <a:rPr lang="en-US"/>
            <a:t>Todd, Andrew    Senior, SW Engineer</a:t>
          </a:r>
        </a:p>
      </dgm:t>
    </dgm:pt>
    <dgm:pt modelId="{C743F798-52DB-48C4-BE0C-10D68FCDDA59}" type="parTrans" cxnId="{880803AB-1A8A-4163-96F2-AFB7081B4C56}">
      <dgm:prSet/>
      <dgm:spPr/>
      <dgm:t>
        <a:bodyPr/>
        <a:lstStyle/>
        <a:p>
          <a:endParaRPr lang="en-US"/>
        </a:p>
      </dgm:t>
    </dgm:pt>
    <dgm:pt modelId="{CA77D2A6-9741-4F65-986D-CA7FC0FE5C1B}" type="sibTrans" cxnId="{880803AB-1A8A-4163-96F2-AFB7081B4C56}">
      <dgm:prSet/>
      <dgm:spPr/>
      <dgm:t>
        <a:bodyPr/>
        <a:lstStyle/>
        <a:p>
          <a:endParaRPr lang="en-US"/>
        </a:p>
      </dgm:t>
    </dgm:pt>
    <dgm:pt modelId="{16C19FDA-3B80-4ED4-8C96-0D66A4E84CF3}">
      <dgm:prSet/>
      <dgm:spPr/>
      <dgm:t>
        <a:bodyPr/>
        <a:lstStyle/>
        <a:p>
          <a:r>
            <a:rPr lang="en-US"/>
            <a:t>Truong, Ngale    Senior, SW Engineer</a:t>
          </a:r>
        </a:p>
      </dgm:t>
    </dgm:pt>
    <dgm:pt modelId="{7829997C-068E-408E-8AC9-D8064199EF1D}" type="parTrans" cxnId="{E2BAEFEE-6938-45DD-86F3-367FDB01CF40}">
      <dgm:prSet/>
      <dgm:spPr/>
      <dgm:t>
        <a:bodyPr/>
        <a:lstStyle/>
        <a:p>
          <a:endParaRPr lang="en-US"/>
        </a:p>
      </dgm:t>
    </dgm:pt>
    <dgm:pt modelId="{3263F364-A790-4E32-803E-349B946E1473}" type="sibTrans" cxnId="{E2BAEFEE-6938-45DD-86F3-367FDB01CF40}">
      <dgm:prSet/>
      <dgm:spPr/>
      <dgm:t>
        <a:bodyPr/>
        <a:lstStyle/>
        <a:p>
          <a:endParaRPr lang="en-US"/>
        </a:p>
      </dgm:t>
    </dgm:pt>
    <dgm:pt modelId="{1FFC9D46-A281-4B56-B93A-D04E6B3A1A6D}">
      <dgm:prSet/>
      <dgm:spPr/>
      <dgm:t>
        <a:bodyPr/>
        <a:lstStyle/>
        <a:p>
          <a:r>
            <a:rPr lang="en-US"/>
            <a:t>Wohler, Walter    Software Engineer</a:t>
          </a:r>
        </a:p>
      </dgm:t>
    </dgm:pt>
    <dgm:pt modelId="{84356721-756A-4A7F-8323-1F94BEFF5772}" type="parTrans" cxnId="{AAF7CEB4-4B3C-42FF-8EEE-230CBF50F3AB}">
      <dgm:prSet/>
      <dgm:spPr/>
      <dgm:t>
        <a:bodyPr/>
        <a:lstStyle/>
        <a:p>
          <a:endParaRPr lang="en-US"/>
        </a:p>
      </dgm:t>
    </dgm:pt>
    <dgm:pt modelId="{84FDD146-92EE-482D-B58E-6A3607E344E8}" type="sibTrans" cxnId="{AAF7CEB4-4B3C-42FF-8EEE-230CBF50F3AB}">
      <dgm:prSet/>
      <dgm:spPr/>
      <dgm:t>
        <a:bodyPr/>
        <a:lstStyle/>
        <a:p>
          <a:endParaRPr lang="en-US"/>
        </a:p>
      </dgm:t>
    </dgm:pt>
    <dgm:pt modelId="{A7836C3C-B3A2-424B-A0AB-91B87935F7E9}">
      <dgm:prSet/>
      <dgm:spPr/>
      <dgm:t>
        <a:bodyPr/>
        <a:lstStyle/>
        <a:p>
          <a:r>
            <a:rPr lang="en-US"/>
            <a:t>Yaninas, Scott    Software Engineer</a:t>
          </a:r>
        </a:p>
      </dgm:t>
    </dgm:pt>
    <dgm:pt modelId="{3C8A131B-92F0-42AD-ADD0-EE4FFAA2F5D3}" type="parTrans" cxnId="{C2101C66-C2DF-4127-A7FB-3231ED3C96E6}">
      <dgm:prSet/>
      <dgm:spPr/>
      <dgm:t>
        <a:bodyPr/>
        <a:lstStyle/>
        <a:p>
          <a:endParaRPr lang="en-US"/>
        </a:p>
      </dgm:t>
    </dgm:pt>
    <dgm:pt modelId="{4E436E27-79A2-4FFD-836C-0D1C7D5C5D14}" type="sibTrans" cxnId="{C2101C66-C2DF-4127-A7FB-3231ED3C96E6}">
      <dgm:prSet/>
      <dgm:spPr/>
      <dgm:t>
        <a:bodyPr/>
        <a:lstStyle/>
        <a:p>
          <a:endParaRPr lang="en-US"/>
        </a:p>
      </dgm:t>
    </dgm:pt>
    <dgm:pt modelId="{4951AAA5-610D-4B97-B9C1-5838A476FA4A}">
      <dgm:prSet/>
      <dgm:spPr/>
      <dgm:t>
        <a:bodyPr/>
        <a:lstStyle/>
        <a:p>
          <a:r>
            <a:rPr lang="en-US"/>
            <a:t>Doc		</a:t>
          </a:r>
        </a:p>
      </dgm:t>
    </dgm:pt>
    <dgm:pt modelId="{7C878F5B-0E97-4DD8-B7CE-1D61EC208743}" type="parTrans" cxnId="{4B982D13-937E-409D-8146-6A46DC516CCD}">
      <dgm:prSet/>
      <dgm:spPr/>
      <dgm:t>
        <a:bodyPr/>
        <a:lstStyle/>
        <a:p>
          <a:endParaRPr lang="en-US"/>
        </a:p>
      </dgm:t>
    </dgm:pt>
    <dgm:pt modelId="{4D4762C8-F28B-4DAC-92D5-E56882CAADA7}" type="sibTrans" cxnId="{4B982D13-937E-409D-8146-6A46DC516CCD}">
      <dgm:prSet/>
      <dgm:spPr/>
      <dgm:t>
        <a:bodyPr/>
        <a:lstStyle/>
        <a:p>
          <a:endParaRPr lang="en-US"/>
        </a:p>
      </dgm:t>
    </dgm:pt>
    <dgm:pt modelId="{9E4C7C04-05B6-42F3-89B7-2DB45C7C32D2}">
      <dgm:prSet/>
      <dgm:spPr/>
      <dgm:t>
        <a:bodyPr/>
        <a:lstStyle/>
        <a:p>
          <a:r>
            <a:rPr lang="en-US"/>
            <a:t>Conlon, Bryan    Technical Writer</a:t>
          </a:r>
        </a:p>
      </dgm:t>
    </dgm:pt>
    <dgm:pt modelId="{7D969707-FF0C-401F-A5D8-EC6661AF023D}" type="parTrans" cxnId="{2A766A1F-5F23-4ED2-91DD-EEBBACFC698F}">
      <dgm:prSet/>
      <dgm:spPr/>
      <dgm:t>
        <a:bodyPr/>
        <a:lstStyle/>
        <a:p>
          <a:endParaRPr lang="en-US"/>
        </a:p>
      </dgm:t>
    </dgm:pt>
    <dgm:pt modelId="{A9F61834-F0E7-40EA-9D5D-D862198988E2}" type="sibTrans" cxnId="{2A766A1F-5F23-4ED2-91DD-EEBBACFC698F}">
      <dgm:prSet/>
      <dgm:spPr/>
      <dgm:t>
        <a:bodyPr/>
        <a:lstStyle/>
        <a:p>
          <a:endParaRPr lang="en-US"/>
        </a:p>
      </dgm:t>
    </dgm:pt>
    <dgm:pt modelId="{8B1B5F3A-47CE-4445-9AC7-683457E795B2}">
      <dgm:prSet/>
      <dgm:spPr/>
      <dgm:t>
        <a:bodyPr/>
        <a:lstStyle/>
        <a:p>
          <a:r>
            <a:rPr lang="en-US"/>
            <a:t>Lead		</a:t>
          </a:r>
        </a:p>
      </dgm:t>
    </dgm:pt>
    <dgm:pt modelId="{1EC54727-7743-4369-9C8C-5355093DE00B}" type="parTrans" cxnId="{07C7DD20-A5E3-4462-95EC-30020EAB02AB}">
      <dgm:prSet/>
      <dgm:spPr/>
      <dgm:t>
        <a:bodyPr/>
        <a:lstStyle/>
        <a:p>
          <a:endParaRPr lang="en-US"/>
        </a:p>
      </dgm:t>
    </dgm:pt>
    <dgm:pt modelId="{B4A6F924-38D2-4AFA-8FBB-0722FF946D4C}" type="sibTrans" cxnId="{07C7DD20-A5E3-4462-95EC-30020EAB02AB}">
      <dgm:prSet/>
      <dgm:spPr/>
      <dgm:t>
        <a:bodyPr/>
        <a:lstStyle/>
        <a:p>
          <a:endParaRPr lang="en-US"/>
        </a:p>
      </dgm:t>
    </dgm:pt>
    <dgm:pt modelId="{1E04CA01-AF26-4701-96A1-600DD4101151}">
      <dgm:prSet/>
      <dgm:spPr/>
      <dgm:t>
        <a:bodyPr/>
        <a:lstStyle/>
        <a:p>
          <a:r>
            <a:rPr lang="en-US"/>
            <a:t>Anderson, Vic    Senior Director, Engineering</a:t>
          </a:r>
        </a:p>
      </dgm:t>
    </dgm:pt>
    <dgm:pt modelId="{67353B1D-37E5-44A6-89DA-2F6D13782642}" type="parTrans" cxnId="{67E1CC43-C498-4CD9-BE87-E43E1AE3C7AF}">
      <dgm:prSet/>
      <dgm:spPr/>
      <dgm:t>
        <a:bodyPr/>
        <a:lstStyle/>
        <a:p>
          <a:endParaRPr lang="en-US"/>
        </a:p>
      </dgm:t>
    </dgm:pt>
    <dgm:pt modelId="{B5C30FAA-1AC5-45BE-8562-087F5E79781F}" type="sibTrans" cxnId="{67E1CC43-C498-4CD9-BE87-E43E1AE3C7AF}">
      <dgm:prSet/>
      <dgm:spPr/>
      <dgm:t>
        <a:bodyPr/>
        <a:lstStyle/>
        <a:p>
          <a:endParaRPr lang="en-US"/>
        </a:p>
      </dgm:t>
    </dgm:pt>
    <dgm:pt modelId="{D05466C9-1628-41D5-A5F2-28FF8BEB1D05}">
      <dgm:prSet/>
      <dgm:spPr/>
      <dgm:t>
        <a:bodyPr/>
        <a:lstStyle/>
        <a:p>
          <a:r>
            <a:rPr lang="en-US"/>
            <a:t>PO		</a:t>
          </a:r>
        </a:p>
      </dgm:t>
    </dgm:pt>
    <dgm:pt modelId="{C14D760C-50A0-4860-B260-9F6D7F7D9FDF}" type="parTrans" cxnId="{60C3AFA4-1861-4619-8A74-00A347F59FBC}">
      <dgm:prSet/>
      <dgm:spPr/>
      <dgm:t>
        <a:bodyPr/>
        <a:lstStyle/>
        <a:p>
          <a:endParaRPr lang="en-US"/>
        </a:p>
      </dgm:t>
    </dgm:pt>
    <dgm:pt modelId="{248F9719-AD79-483A-B0FC-EAF9DE2D2698}" type="sibTrans" cxnId="{60C3AFA4-1861-4619-8A74-00A347F59FBC}">
      <dgm:prSet/>
      <dgm:spPr/>
      <dgm:t>
        <a:bodyPr/>
        <a:lstStyle/>
        <a:p>
          <a:endParaRPr lang="en-US"/>
        </a:p>
      </dgm:t>
    </dgm:pt>
    <dgm:pt modelId="{6DD227C5-217E-491D-B632-579A80D9860E}">
      <dgm:prSet/>
      <dgm:spPr/>
      <dgm:t>
        <a:bodyPr/>
        <a:lstStyle/>
        <a:p>
          <a:r>
            <a:rPr lang="en-US"/>
            <a:t>Bateman, Brandon    Senior, SW Engineer</a:t>
          </a:r>
        </a:p>
      </dgm:t>
    </dgm:pt>
    <dgm:pt modelId="{AE79D59E-9658-41E6-9C83-74A1F58A53DB}" type="parTrans" cxnId="{007D6A17-D470-4BCE-8FC9-AF9FF3E1BCAC}">
      <dgm:prSet/>
      <dgm:spPr/>
      <dgm:t>
        <a:bodyPr/>
        <a:lstStyle/>
        <a:p>
          <a:endParaRPr lang="en-US"/>
        </a:p>
      </dgm:t>
    </dgm:pt>
    <dgm:pt modelId="{65FC6968-231D-4479-A39D-3C1C5A8D49AC}" type="sibTrans" cxnId="{007D6A17-D470-4BCE-8FC9-AF9FF3E1BCAC}">
      <dgm:prSet/>
      <dgm:spPr/>
      <dgm:t>
        <a:bodyPr/>
        <a:lstStyle/>
        <a:p>
          <a:endParaRPr lang="en-US"/>
        </a:p>
      </dgm:t>
    </dgm:pt>
    <dgm:pt modelId="{4D3A1572-837C-473B-943F-14039E5C78AF}">
      <dgm:prSet/>
      <dgm:spPr/>
      <dgm:t>
        <a:bodyPr/>
        <a:lstStyle/>
        <a:p>
          <a:r>
            <a:rPr lang="en-US"/>
            <a:t>Mittal, Rashmi    Master, SW Engineer</a:t>
          </a:r>
        </a:p>
      </dgm:t>
    </dgm:pt>
    <dgm:pt modelId="{57D843C8-EE76-4F52-BFA0-1A5122485D09}" type="parTrans" cxnId="{36DA02D2-0DB7-4F63-8E83-5283585A89E3}">
      <dgm:prSet/>
      <dgm:spPr/>
      <dgm:t>
        <a:bodyPr/>
        <a:lstStyle/>
        <a:p>
          <a:endParaRPr lang="en-US"/>
        </a:p>
      </dgm:t>
    </dgm:pt>
    <dgm:pt modelId="{70C04C26-BB6F-456D-85A6-D6773CA0B2F4}" type="sibTrans" cxnId="{36DA02D2-0DB7-4F63-8E83-5283585A89E3}">
      <dgm:prSet/>
      <dgm:spPr/>
      <dgm:t>
        <a:bodyPr/>
        <a:lstStyle/>
        <a:p>
          <a:endParaRPr lang="en-US"/>
        </a:p>
      </dgm:t>
    </dgm:pt>
    <dgm:pt modelId="{75BDCD28-C502-4253-8F3B-94715282F999}">
      <dgm:prSet/>
      <dgm:spPr/>
      <dgm:t>
        <a:bodyPr/>
        <a:lstStyle/>
        <a:p>
          <a:r>
            <a:rPr lang="en-US"/>
            <a:t>Raman, Vijay    Master, SW Engineer</a:t>
          </a:r>
        </a:p>
      </dgm:t>
    </dgm:pt>
    <dgm:pt modelId="{CF72BCDE-9208-470E-B5B7-35F762071623}" type="parTrans" cxnId="{BC16A96C-3F7B-4E3E-8EC4-76984A1429C5}">
      <dgm:prSet/>
      <dgm:spPr/>
      <dgm:t>
        <a:bodyPr/>
        <a:lstStyle/>
        <a:p>
          <a:endParaRPr lang="en-US"/>
        </a:p>
      </dgm:t>
    </dgm:pt>
    <dgm:pt modelId="{FFF8D0B9-C681-40D0-8A67-7F32A2652470}" type="sibTrans" cxnId="{BC16A96C-3F7B-4E3E-8EC4-76984A1429C5}">
      <dgm:prSet/>
      <dgm:spPr/>
      <dgm:t>
        <a:bodyPr/>
        <a:lstStyle/>
        <a:p>
          <a:endParaRPr lang="en-US"/>
        </a:p>
      </dgm:t>
    </dgm:pt>
    <dgm:pt modelId="{1BC140A6-0B8B-4A9B-A52C-91EB356D10AF}">
      <dgm:prSet/>
      <dgm:spPr/>
      <dgm:t>
        <a:bodyPr/>
        <a:lstStyle/>
        <a:p>
          <a:r>
            <a:rPr lang="en-US"/>
            <a:t>TBH14 </a:t>
          </a:r>
        </a:p>
        <a:p>
          <a:r>
            <a:rPr lang="en-US"/>
            <a:t>Senior, SW Engineer</a:t>
          </a:r>
        </a:p>
      </dgm:t>
    </dgm:pt>
    <dgm:pt modelId="{C39ECCBC-AE99-49DD-BD19-EB582FE219BF}" type="parTrans" cxnId="{C8BA187C-A512-418D-A9EA-635BD3A46DAE}">
      <dgm:prSet/>
      <dgm:spPr/>
      <dgm:t>
        <a:bodyPr/>
        <a:lstStyle/>
        <a:p>
          <a:endParaRPr lang="en-US"/>
        </a:p>
      </dgm:t>
    </dgm:pt>
    <dgm:pt modelId="{1090688A-7B13-4056-AFB1-29EB7E37C9F4}" type="sibTrans" cxnId="{C8BA187C-A512-418D-A9EA-635BD3A46DAE}">
      <dgm:prSet/>
      <dgm:spPr/>
      <dgm:t>
        <a:bodyPr/>
        <a:lstStyle/>
        <a:p>
          <a:endParaRPr lang="en-US"/>
        </a:p>
      </dgm:t>
    </dgm:pt>
    <dgm:pt modelId="{E992FB22-88C0-4D3F-BBB6-04F872B35ECF}">
      <dgm:prSet/>
      <dgm:spPr/>
      <dgm:t>
        <a:bodyPr/>
        <a:lstStyle/>
        <a:p>
          <a:r>
            <a:rPr lang="en-US"/>
            <a:t>QA		</a:t>
          </a:r>
        </a:p>
      </dgm:t>
    </dgm:pt>
    <dgm:pt modelId="{7003BDA5-A56C-41CB-B768-FF458094EF58}" type="parTrans" cxnId="{88EE9975-E402-4BFD-AE8A-72E762C44FAC}">
      <dgm:prSet/>
      <dgm:spPr/>
      <dgm:t>
        <a:bodyPr/>
        <a:lstStyle/>
        <a:p>
          <a:endParaRPr lang="en-US"/>
        </a:p>
      </dgm:t>
    </dgm:pt>
    <dgm:pt modelId="{718EA92F-408E-4620-B36D-9090D2600FCE}" type="sibTrans" cxnId="{88EE9975-E402-4BFD-AE8A-72E762C44FAC}">
      <dgm:prSet/>
      <dgm:spPr/>
      <dgm:t>
        <a:bodyPr/>
        <a:lstStyle/>
        <a:p>
          <a:endParaRPr lang="en-US"/>
        </a:p>
      </dgm:t>
    </dgm:pt>
    <dgm:pt modelId="{93394033-425D-4848-A2C7-26382A957020}">
      <dgm:prSet/>
      <dgm:spPr/>
      <dgm:t>
        <a:bodyPr/>
        <a:lstStyle/>
        <a:p>
          <a:r>
            <a:rPr lang="en-US"/>
            <a:t>Bishop, Jon    Associate, SWQA Engineer</a:t>
          </a:r>
        </a:p>
      </dgm:t>
    </dgm:pt>
    <dgm:pt modelId="{A99A3D6D-EC51-4B6B-AB21-0B81A40B257B}" type="parTrans" cxnId="{1EA582E2-CA23-4BF1-9123-116800A32B47}">
      <dgm:prSet/>
      <dgm:spPr/>
      <dgm:t>
        <a:bodyPr/>
        <a:lstStyle/>
        <a:p>
          <a:endParaRPr lang="en-US"/>
        </a:p>
      </dgm:t>
    </dgm:pt>
    <dgm:pt modelId="{370AA044-DBEA-40A2-9C3B-EC292E658BD8}" type="sibTrans" cxnId="{1EA582E2-CA23-4BF1-9123-116800A32B47}">
      <dgm:prSet/>
      <dgm:spPr/>
      <dgm:t>
        <a:bodyPr/>
        <a:lstStyle/>
        <a:p>
          <a:endParaRPr lang="en-US"/>
        </a:p>
      </dgm:t>
    </dgm:pt>
    <dgm:pt modelId="{E7445ED7-D278-432C-B41B-CDF6B90E4F32}">
      <dgm:prSet/>
      <dgm:spPr/>
      <dgm:t>
        <a:bodyPr/>
        <a:lstStyle/>
        <a:p>
          <a:r>
            <a:rPr lang="en-US"/>
            <a:t>Burnham, John    Senior Manager, Engineering</a:t>
          </a:r>
        </a:p>
      </dgm:t>
    </dgm:pt>
    <dgm:pt modelId="{EAE2F346-A0FE-44FC-91E9-46932F45A082}" type="parTrans" cxnId="{0757E0E9-53A3-42F1-98C8-CBB146F73E39}">
      <dgm:prSet/>
      <dgm:spPr/>
      <dgm:t>
        <a:bodyPr/>
        <a:lstStyle/>
        <a:p>
          <a:endParaRPr lang="en-US"/>
        </a:p>
      </dgm:t>
    </dgm:pt>
    <dgm:pt modelId="{E360968F-9FD5-45CA-982C-0176B6E79EE5}" type="sibTrans" cxnId="{0757E0E9-53A3-42F1-98C8-CBB146F73E39}">
      <dgm:prSet/>
      <dgm:spPr/>
      <dgm:t>
        <a:bodyPr/>
        <a:lstStyle/>
        <a:p>
          <a:endParaRPr lang="en-US"/>
        </a:p>
      </dgm:t>
    </dgm:pt>
    <dgm:pt modelId="{DB14C436-F9A1-4778-BFD3-77CF88ADDB33}">
      <dgm:prSet/>
      <dgm:spPr/>
      <dgm:t>
        <a:bodyPr/>
        <a:lstStyle/>
        <a:p>
          <a:r>
            <a:rPr lang="en-US"/>
            <a:t>da Cruz, Jonathan    SWQA Engineer</a:t>
          </a:r>
        </a:p>
      </dgm:t>
    </dgm:pt>
    <dgm:pt modelId="{A83F985A-CD04-4A21-93C8-8788973CF437}" type="parTrans" cxnId="{66251D03-168C-49BB-90CC-DCBC0FBC1DCF}">
      <dgm:prSet/>
      <dgm:spPr/>
      <dgm:t>
        <a:bodyPr/>
        <a:lstStyle/>
        <a:p>
          <a:endParaRPr lang="en-US"/>
        </a:p>
      </dgm:t>
    </dgm:pt>
    <dgm:pt modelId="{D137B2E6-0C31-46E6-A4DF-5A6876A88EAF}" type="sibTrans" cxnId="{66251D03-168C-49BB-90CC-DCBC0FBC1DCF}">
      <dgm:prSet/>
      <dgm:spPr/>
      <dgm:t>
        <a:bodyPr/>
        <a:lstStyle/>
        <a:p>
          <a:endParaRPr lang="en-US"/>
        </a:p>
      </dgm:t>
    </dgm:pt>
    <dgm:pt modelId="{45DFDF72-1FC7-4CBB-B883-246AC5215190}">
      <dgm:prSet/>
      <dgm:spPr/>
      <dgm:t>
        <a:bodyPr/>
        <a:lstStyle/>
        <a:p>
          <a:r>
            <a:rPr lang="en-US"/>
            <a:t>Lee, Jonathan    SWQA Engineer</a:t>
          </a:r>
        </a:p>
      </dgm:t>
    </dgm:pt>
    <dgm:pt modelId="{9CFC9B21-7483-4BCD-8335-3549007CCDE2}" type="parTrans" cxnId="{B6EB9FE1-BF08-46CE-B23C-6CD8A5978C95}">
      <dgm:prSet/>
      <dgm:spPr/>
      <dgm:t>
        <a:bodyPr/>
        <a:lstStyle/>
        <a:p>
          <a:endParaRPr lang="en-US"/>
        </a:p>
      </dgm:t>
    </dgm:pt>
    <dgm:pt modelId="{4B76AEC5-F589-4501-B8B0-51126CD25AEE}" type="sibTrans" cxnId="{B6EB9FE1-BF08-46CE-B23C-6CD8A5978C95}">
      <dgm:prSet/>
      <dgm:spPr/>
      <dgm:t>
        <a:bodyPr/>
        <a:lstStyle/>
        <a:p>
          <a:endParaRPr lang="en-US"/>
        </a:p>
      </dgm:t>
    </dgm:pt>
    <dgm:pt modelId="{FEB04FA2-6151-4B52-B51A-4DEC2F2405ED}">
      <dgm:prSet/>
      <dgm:spPr/>
      <dgm:t>
        <a:bodyPr/>
        <a:lstStyle/>
        <a:p>
          <a:r>
            <a:rPr lang="en-US"/>
            <a:t>Persons, Mark    Master, SWQA Engineer</a:t>
          </a:r>
        </a:p>
      </dgm:t>
    </dgm:pt>
    <dgm:pt modelId="{446EDEE6-AABB-4AEE-B26C-11C002B1582E}" type="parTrans" cxnId="{7D152C0C-DDB4-4B31-85B5-DE1051F91706}">
      <dgm:prSet/>
      <dgm:spPr/>
      <dgm:t>
        <a:bodyPr/>
        <a:lstStyle/>
        <a:p>
          <a:endParaRPr lang="en-US"/>
        </a:p>
      </dgm:t>
    </dgm:pt>
    <dgm:pt modelId="{B4CFD55B-FB58-4A25-9151-8C2F3900F501}" type="sibTrans" cxnId="{7D152C0C-DDB4-4B31-85B5-DE1051F91706}">
      <dgm:prSet/>
      <dgm:spPr/>
      <dgm:t>
        <a:bodyPr/>
        <a:lstStyle/>
        <a:p>
          <a:endParaRPr lang="en-US"/>
        </a:p>
      </dgm:t>
    </dgm:pt>
    <dgm:pt modelId="{12B1457A-8C97-49DC-A57B-450865ABFD4A}">
      <dgm:prSet/>
      <dgm:spPr/>
      <dgm:t>
        <a:bodyPr/>
        <a:lstStyle/>
        <a:p>
          <a:r>
            <a:rPr lang="en-US"/>
            <a:t>Wilder, Hank    Specialist, SWQA Engineer</a:t>
          </a:r>
        </a:p>
      </dgm:t>
    </dgm:pt>
    <dgm:pt modelId="{8607EA16-EBD0-4549-9603-665F7AC10C11}" type="parTrans" cxnId="{9438E329-932B-48D9-8571-1517374DCAF7}">
      <dgm:prSet/>
      <dgm:spPr/>
      <dgm:t>
        <a:bodyPr/>
        <a:lstStyle/>
        <a:p>
          <a:endParaRPr lang="en-US"/>
        </a:p>
      </dgm:t>
    </dgm:pt>
    <dgm:pt modelId="{CD5417DA-07F5-4591-94CC-4D1D29395DDC}" type="sibTrans" cxnId="{9438E329-932B-48D9-8571-1517374DCAF7}">
      <dgm:prSet/>
      <dgm:spPr/>
      <dgm:t>
        <a:bodyPr/>
        <a:lstStyle/>
        <a:p>
          <a:endParaRPr lang="en-US"/>
        </a:p>
      </dgm:t>
    </dgm:pt>
    <dgm:pt modelId="{B341A608-3522-47F6-948B-E7F2023BD2BD}">
      <dgm:prSet/>
      <dgm:spPr/>
      <dgm:t>
        <a:bodyPr/>
        <a:lstStyle/>
        <a:p>
          <a:r>
            <a:rPr lang="en-US"/>
            <a:t>UI		</a:t>
          </a:r>
        </a:p>
      </dgm:t>
    </dgm:pt>
    <dgm:pt modelId="{A7D10C2D-7C17-4D02-88F1-92ABCC242FC7}" type="parTrans" cxnId="{4148145F-91D0-4696-B051-C065E81C0981}">
      <dgm:prSet/>
      <dgm:spPr/>
      <dgm:t>
        <a:bodyPr/>
        <a:lstStyle/>
        <a:p>
          <a:endParaRPr lang="en-US"/>
        </a:p>
      </dgm:t>
    </dgm:pt>
    <dgm:pt modelId="{5A0E03CD-342D-45A2-976C-9FB0BDD7A08B}" type="sibTrans" cxnId="{4148145F-91D0-4696-B051-C065E81C0981}">
      <dgm:prSet/>
      <dgm:spPr/>
      <dgm:t>
        <a:bodyPr/>
        <a:lstStyle/>
        <a:p>
          <a:endParaRPr lang="en-US"/>
        </a:p>
      </dgm:t>
    </dgm:pt>
    <dgm:pt modelId="{443FF0A3-674C-40DB-B8DD-5146ED74B4EE}">
      <dgm:prSet/>
      <dgm:spPr/>
      <dgm:t>
        <a:bodyPr/>
        <a:lstStyle/>
        <a:p>
          <a:r>
            <a:rPr lang="en-US"/>
            <a:t>Strand, Eric    Specialist, SW Engineer</a:t>
          </a:r>
        </a:p>
      </dgm:t>
    </dgm:pt>
    <dgm:pt modelId="{D3A35D47-89AA-4178-B3A0-C57AF5183B31}" type="parTrans" cxnId="{C2A9973B-8AFF-4088-A1F5-02D456BCC202}">
      <dgm:prSet/>
      <dgm:spPr/>
      <dgm:t>
        <a:bodyPr/>
        <a:lstStyle/>
        <a:p>
          <a:endParaRPr lang="en-US"/>
        </a:p>
      </dgm:t>
    </dgm:pt>
    <dgm:pt modelId="{4C2F2315-4219-4347-B01C-B03098FE4F22}" type="sibTrans" cxnId="{C2A9973B-8AFF-4088-A1F5-02D456BCC202}">
      <dgm:prSet/>
      <dgm:spPr/>
      <dgm:t>
        <a:bodyPr/>
        <a:lstStyle/>
        <a:p>
          <a:endParaRPr lang="en-US"/>
        </a:p>
      </dgm:t>
    </dgm:pt>
    <dgm:pt modelId="{45A792FE-0541-44F2-80DB-FD9970F1FA40}">
      <dgm:prSet/>
      <dgm:spPr/>
      <dgm:t>
        <a:bodyPr/>
        <a:lstStyle/>
        <a:p>
          <a:r>
            <a:rPr lang="en-US"/>
            <a:t>Leich, Alex    Associate, SW Engineer</a:t>
          </a:r>
        </a:p>
      </dgm:t>
    </dgm:pt>
    <dgm:pt modelId="{97C23FEB-3EC3-4217-98C6-5D1618863CE5}" type="parTrans" cxnId="{B5F1DCDE-F13B-40B9-9DF0-AA0C70625489}">
      <dgm:prSet/>
      <dgm:spPr/>
      <dgm:t>
        <a:bodyPr/>
        <a:lstStyle/>
        <a:p>
          <a:endParaRPr lang="en-US"/>
        </a:p>
      </dgm:t>
    </dgm:pt>
    <dgm:pt modelId="{152AB7AD-174C-4714-91EA-3106E87BD921}" type="sibTrans" cxnId="{B5F1DCDE-F13B-40B9-9DF0-AA0C70625489}">
      <dgm:prSet/>
      <dgm:spPr/>
      <dgm:t>
        <a:bodyPr/>
        <a:lstStyle/>
        <a:p>
          <a:endParaRPr lang="en-US"/>
        </a:p>
      </dgm:t>
    </dgm:pt>
    <dgm:pt modelId="{A163B9D6-AFBD-430C-8AE8-216B1B439C08}" type="pres">
      <dgm:prSet presAssocID="{5D17C2DA-895F-4E22-B36D-8D2DD7B0C129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08F6EE59-5E75-4A01-8997-D219C447C2ED}" type="pres">
      <dgm:prSet presAssocID="{8B1B5F3A-47CE-4445-9AC7-683457E795B2}" presName="root" presStyleCnt="0"/>
      <dgm:spPr/>
      <dgm:t>
        <a:bodyPr/>
        <a:lstStyle/>
        <a:p>
          <a:endParaRPr lang="en-US"/>
        </a:p>
      </dgm:t>
    </dgm:pt>
    <dgm:pt modelId="{689B8807-D4FA-4E93-AC03-1E3478B853D4}" type="pres">
      <dgm:prSet presAssocID="{8B1B5F3A-47CE-4445-9AC7-683457E795B2}" presName="rootComposite" presStyleCnt="0"/>
      <dgm:spPr/>
      <dgm:t>
        <a:bodyPr/>
        <a:lstStyle/>
        <a:p>
          <a:endParaRPr lang="en-US"/>
        </a:p>
      </dgm:t>
    </dgm:pt>
    <dgm:pt modelId="{8366F9C9-A1CE-4393-AFF5-3F4551A01800}" type="pres">
      <dgm:prSet presAssocID="{8B1B5F3A-47CE-4445-9AC7-683457E795B2}" presName="rootText" presStyleLbl="node1" presStyleIdx="0" presStyleCnt="8"/>
      <dgm:spPr/>
      <dgm:t>
        <a:bodyPr/>
        <a:lstStyle/>
        <a:p>
          <a:endParaRPr lang="en-US"/>
        </a:p>
      </dgm:t>
    </dgm:pt>
    <dgm:pt modelId="{B80202C5-A463-4CBF-A3E8-929BE08965E8}" type="pres">
      <dgm:prSet presAssocID="{8B1B5F3A-47CE-4445-9AC7-683457E795B2}" presName="rootConnector" presStyleLbl="node1" presStyleIdx="0" presStyleCnt="8"/>
      <dgm:spPr/>
      <dgm:t>
        <a:bodyPr/>
        <a:lstStyle/>
        <a:p>
          <a:endParaRPr lang="en-US"/>
        </a:p>
      </dgm:t>
    </dgm:pt>
    <dgm:pt modelId="{46553A75-20FB-4912-A391-2A8D12C7101B}" type="pres">
      <dgm:prSet presAssocID="{8B1B5F3A-47CE-4445-9AC7-683457E795B2}" presName="childShape" presStyleCnt="0"/>
      <dgm:spPr/>
      <dgm:t>
        <a:bodyPr/>
        <a:lstStyle/>
        <a:p>
          <a:endParaRPr lang="en-US"/>
        </a:p>
      </dgm:t>
    </dgm:pt>
    <dgm:pt modelId="{3662917C-5C19-4A32-9394-913A1E5E543C}" type="pres">
      <dgm:prSet presAssocID="{67353B1D-37E5-44A6-89DA-2F6D13782642}" presName="Name13" presStyleLbl="parChTrans1D2" presStyleIdx="0" presStyleCnt="36"/>
      <dgm:spPr/>
      <dgm:t>
        <a:bodyPr/>
        <a:lstStyle/>
        <a:p>
          <a:endParaRPr lang="en-US"/>
        </a:p>
      </dgm:t>
    </dgm:pt>
    <dgm:pt modelId="{E5344F81-5164-411B-BCD3-6481D05546C5}" type="pres">
      <dgm:prSet presAssocID="{1E04CA01-AF26-4701-96A1-600DD4101151}" presName="childText" presStyleLbl="bgAcc1" presStyleIdx="0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6F73282-4168-4DD8-B023-DEE47401580A}" type="pres">
      <dgm:prSet presAssocID="{D05466C9-1628-41D5-A5F2-28FF8BEB1D05}" presName="root" presStyleCnt="0"/>
      <dgm:spPr/>
      <dgm:t>
        <a:bodyPr/>
        <a:lstStyle/>
        <a:p>
          <a:endParaRPr lang="en-US"/>
        </a:p>
      </dgm:t>
    </dgm:pt>
    <dgm:pt modelId="{1CB1BD3E-7DA7-4146-9B64-4D7B4D382E8B}" type="pres">
      <dgm:prSet presAssocID="{D05466C9-1628-41D5-A5F2-28FF8BEB1D05}" presName="rootComposite" presStyleCnt="0"/>
      <dgm:spPr/>
      <dgm:t>
        <a:bodyPr/>
        <a:lstStyle/>
        <a:p>
          <a:endParaRPr lang="en-US"/>
        </a:p>
      </dgm:t>
    </dgm:pt>
    <dgm:pt modelId="{668654F3-E37D-4063-9B69-3CF85E3283BD}" type="pres">
      <dgm:prSet presAssocID="{D05466C9-1628-41D5-A5F2-28FF8BEB1D05}" presName="rootText" presStyleLbl="node1" presStyleIdx="1" presStyleCnt="8"/>
      <dgm:spPr/>
      <dgm:t>
        <a:bodyPr/>
        <a:lstStyle/>
        <a:p>
          <a:endParaRPr lang="en-US"/>
        </a:p>
      </dgm:t>
    </dgm:pt>
    <dgm:pt modelId="{79EB52E4-7F40-46EC-BDEC-83F159D50D81}" type="pres">
      <dgm:prSet presAssocID="{D05466C9-1628-41D5-A5F2-28FF8BEB1D05}" presName="rootConnector" presStyleLbl="node1" presStyleIdx="1" presStyleCnt="8"/>
      <dgm:spPr/>
      <dgm:t>
        <a:bodyPr/>
        <a:lstStyle/>
        <a:p>
          <a:endParaRPr lang="en-US"/>
        </a:p>
      </dgm:t>
    </dgm:pt>
    <dgm:pt modelId="{DF3BCDC2-B455-4769-9889-ACFDAE15A07D}" type="pres">
      <dgm:prSet presAssocID="{D05466C9-1628-41D5-A5F2-28FF8BEB1D05}" presName="childShape" presStyleCnt="0"/>
      <dgm:spPr/>
      <dgm:t>
        <a:bodyPr/>
        <a:lstStyle/>
        <a:p>
          <a:endParaRPr lang="en-US"/>
        </a:p>
      </dgm:t>
    </dgm:pt>
    <dgm:pt modelId="{6BCF9735-6A57-4359-9A3C-A9170A8F7407}" type="pres">
      <dgm:prSet presAssocID="{AE79D59E-9658-41E6-9C83-74A1F58A53DB}" presName="Name13" presStyleLbl="parChTrans1D2" presStyleIdx="1" presStyleCnt="36"/>
      <dgm:spPr/>
      <dgm:t>
        <a:bodyPr/>
        <a:lstStyle/>
        <a:p>
          <a:endParaRPr lang="en-US"/>
        </a:p>
      </dgm:t>
    </dgm:pt>
    <dgm:pt modelId="{DE47FC06-00F3-418D-B502-BF7D634BC69A}" type="pres">
      <dgm:prSet presAssocID="{6DD227C5-217E-491D-B632-579A80D9860E}" presName="childText" presStyleLbl="bgAcc1" presStyleIdx="1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6D06439-B4F4-4205-AB77-71108BC9AE8D}" type="pres">
      <dgm:prSet presAssocID="{57D843C8-EE76-4F52-BFA0-1A5122485D09}" presName="Name13" presStyleLbl="parChTrans1D2" presStyleIdx="2" presStyleCnt="36"/>
      <dgm:spPr/>
      <dgm:t>
        <a:bodyPr/>
        <a:lstStyle/>
        <a:p>
          <a:endParaRPr lang="en-US"/>
        </a:p>
      </dgm:t>
    </dgm:pt>
    <dgm:pt modelId="{312E77CC-3B84-4D27-AE1B-EE3228FC6C5F}" type="pres">
      <dgm:prSet presAssocID="{4D3A1572-837C-473B-943F-14039E5C78AF}" presName="childText" presStyleLbl="bgAcc1" presStyleIdx="2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ED5F114-CDD2-48CE-9AFE-DF8C760AAAC1}" type="pres">
      <dgm:prSet presAssocID="{CF72BCDE-9208-470E-B5B7-35F762071623}" presName="Name13" presStyleLbl="parChTrans1D2" presStyleIdx="3" presStyleCnt="36"/>
      <dgm:spPr/>
      <dgm:t>
        <a:bodyPr/>
        <a:lstStyle/>
        <a:p>
          <a:endParaRPr lang="en-US"/>
        </a:p>
      </dgm:t>
    </dgm:pt>
    <dgm:pt modelId="{2DEF1DEA-34AB-45D5-8A7B-25429454327A}" type="pres">
      <dgm:prSet presAssocID="{75BDCD28-C502-4253-8F3B-94715282F999}" presName="childText" presStyleLbl="bgAcc1" presStyleIdx="3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7B2781C-ACA6-419C-AFDC-459883E079CC}" type="pres">
      <dgm:prSet presAssocID="{C39ECCBC-AE99-49DD-BD19-EB582FE219BF}" presName="Name13" presStyleLbl="parChTrans1D2" presStyleIdx="4" presStyleCnt="36"/>
      <dgm:spPr/>
      <dgm:t>
        <a:bodyPr/>
        <a:lstStyle/>
        <a:p>
          <a:endParaRPr lang="en-US"/>
        </a:p>
      </dgm:t>
    </dgm:pt>
    <dgm:pt modelId="{0FAD59DE-BAB9-4544-BB81-93A1A117C7A8}" type="pres">
      <dgm:prSet presAssocID="{1BC140A6-0B8B-4A9B-A52C-91EB356D10AF}" presName="childText" presStyleLbl="bgAcc1" presStyleIdx="4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9523865-D1A5-4BEC-A782-16ACA3CACB6F}" type="pres">
      <dgm:prSet presAssocID="{A2F5E4C8-222F-427F-86D5-D9B91A94C035}" presName="root" presStyleCnt="0"/>
      <dgm:spPr/>
      <dgm:t>
        <a:bodyPr/>
        <a:lstStyle/>
        <a:p>
          <a:endParaRPr lang="en-US"/>
        </a:p>
      </dgm:t>
    </dgm:pt>
    <dgm:pt modelId="{E3C0DE76-9BBD-486B-9FDF-6C384C9E99E2}" type="pres">
      <dgm:prSet presAssocID="{A2F5E4C8-222F-427F-86D5-D9B91A94C035}" presName="rootComposite" presStyleCnt="0"/>
      <dgm:spPr/>
      <dgm:t>
        <a:bodyPr/>
        <a:lstStyle/>
        <a:p>
          <a:endParaRPr lang="en-US"/>
        </a:p>
      </dgm:t>
    </dgm:pt>
    <dgm:pt modelId="{299B2382-4758-4218-B387-F87696475686}" type="pres">
      <dgm:prSet presAssocID="{A2F5E4C8-222F-427F-86D5-D9B91A94C035}" presName="rootText" presStyleLbl="node1" presStyleIdx="2" presStyleCnt="8"/>
      <dgm:spPr/>
      <dgm:t>
        <a:bodyPr/>
        <a:lstStyle/>
        <a:p>
          <a:endParaRPr lang="en-US"/>
        </a:p>
      </dgm:t>
    </dgm:pt>
    <dgm:pt modelId="{0816B2D8-4921-4887-8862-F17E793DC5CC}" type="pres">
      <dgm:prSet presAssocID="{A2F5E4C8-222F-427F-86D5-D9B91A94C035}" presName="rootConnector" presStyleLbl="node1" presStyleIdx="2" presStyleCnt="8"/>
      <dgm:spPr/>
      <dgm:t>
        <a:bodyPr/>
        <a:lstStyle/>
        <a:p>
          <a:endParaRPr lang="en-US"/>
        </a:p>
      </dgm:t>
    </dgm:pt>
    <dgm:pt modelId="{D115A618-A5BB-420B-8332-3A3BC9D5EA44}" type="pres">
      <dgm:prSet presAssocID="{A2F5E4C8-222F-427F-86D5-D9B91A94C035}" presName="childShape" presStyleCnt="0"/>
      <dgm:spPr/>
      <dgm:t>
        <a:bodyPr/>
        <a:lstStyle/>
        <a:p>
          <a:endParaRPr lang="en-US"/>
        </a:p>
      </dgm:t>
    </dgm:pt>
    <dgm:pt modelId="{2BBB7EFC-E74F-4439-B509-68D5EAFB139D}" type="pres">
      <dgm:prSet presAssocID="{6E179B6C-EAB1-4D1D-B2E2-B6EB517B25BB}" presName="Name13" presStyleLbl="parChTrans1D2" presStyleIdx="5" presStyleCnt="36"/>
      <dgm:spPr/>
      <dgm:t>
        <a:bodyPr/>
        <a:lstStyle/>
        <a:p>
          <a:endParaRPr lang="en-US"/>
        </a:p>
      </dgm:t>
    </dgm:pt>
    <dgm:pt modelId="{ECF0C3BF-6204-4536-A74F-6F2C7D8FC2DB}" type="pres">
      <dgm:prSet presAssocID="{28F6EF35-E81E-486B-A2C9-4100E073B104}" presName="childText" presStyleLbl="bgAcc1" presStyleIdx="5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787B94B-59D3-44B4-AD6D-12A82473FC4A}" type="pres">
      <dgm:prSet presAssocID="{EBAA04C3-EF2B-4DF8-91AE-72BD16EC0588}" presName="Name13" presStyleLbl="parChTrans1D2" presStyleIdx="6" presStyleCnt="36"/>
      <dgm:spPr/>
      <dgm:t>
        <a:bodyPr/>
        <a:lstStyle/>
        <a:p>
          <a:endParaRPr lang="en-US"/>
        </a:p>
      </dgm:t>
    </dgm:pt>
    <dgm:pt modelId="{48CF3CFF-D661-4C5D-9DB2-2683878F547F}" type="pres">
      <dgm:prSet presAssocID="{5E5E5878-9C91-4288-9F90-674154E3589F}" presName="childText" presStyleLbl="bgAcc1" presStyleIdx="6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7132261-7C75-4984-9B6C-E9AF2F012B0B}" type="pres">
      <dgm:prSet presAssocID="{B4676A85-DD31-4846-B4AA-15998545693D}" presName="Name13" presStyleLbl="parChTrans1D2" presStyleIdx="7" presStyleCnt="36"/>
      <dgm:spPr/>
      <dgm:t>
        <a:bodyPr/>
        <a:lstStyle/>
        <a:p>
          <a:endParaRPr lang="en-US"/>
        </a:p>
      </dgm:t>
    </dgm:pt>
    <dgm:pt modelId="{E11C5208-6BB5-4DD9-9ED6-8C264082566E}" type="pres">
      <dgm:prSet presAssocID="{8506F5E9-DBA0-4C5A-A21E-985F317125FD}" presName="childText" presStyleLbl="bgAcc1" presStyleIdx="7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72B14C-AB87-4681-95B0-B1C2F0210391}" type="pres">
      <dgm:prSet presAssocID="{71BDBAD7-9719-4352-B099-6449B6CD02F1}" presName="Name13" presStyleLbl="parChTrans1D2" presStyleIdx="8" presStyleCnt="36"/>
      <dgm:spPr/>
      <dgm:t>
        <a:bodyPr/>
        <a:lstStyle/>
        <a:p>
          <a:endParaRPr lang="en-US"/>
        </a:p>
      </dgm:t>
    </dgm:pt>
    <dgm:pt modelId="{605C8F62-ED0C-4979-A4F1-63FEBEEF7BE9}" type="pres">
      <dgm:prSet presAssocID="{F294CDDB-9F64-4C5B-80DE-80533A544934}" presName="childText" presStyleLbl="bgAcc1" presStyleIdx="8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65AC7DB-87F8-486A-8062-4466C9581032}" type="pres">
      <dgm:prSet presAssocID="{87619584-2F12-41DC-85F3-430DDD185FE6}" presName="Name13" presStyleLbl="parChTrans1D2" presStyleIdx="9" presStyleCnt="36"/>
      <dgm:spPr/>
      <dgm:t>
        <a:bodyPr/>
        <a:lstStyle/>
        <a:p>
          <a:endParaRPr lang="en-US"/>
        </a:p>
      </dgm:t>
    </dgm:pt>
    <dgm:pt modelId="{77AE4B88-64EC-4215-BA66-B228FB87CC7B}" type="pres">
      <dgm:prSet presAssocID="{61D7DCF4-F6DF-4C0F-9547-F9DE99A83E30}" presName="childText" presStyleLbl="bgAcc1" presStyleIdx="9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A491C7C-AB55-4DA8-BBF0-0138574C75FB}" type="pres">
      <dgm:prSet presAssocID="{F62A32B5-95A0-4B13-9CB0-3401081E8A85}" presName="Name13" presStyleLbl="parChTrans1D2" presStyleIdx="10" presStyleCnt="36"/>
      <dgm:spPr/>
      <dgm:t>
        <a:bodyPr/>
        <a:lstStyle/>
        <a:p>
          <a:endParaRPr lang="en-US"/>
        </a:p>
      </dgm:t>
    </dgm:pt>
    <dgm:pt modelId="{1AC472D6-836D-4501-9611-2FE2651F3843}" type="pres">
      <dgm:prSet presAssocID="{B3507E67-5A54-4767-B938-527C8620A7FF}" presName="childText" presStyleLbl="bgAcc1" presStyleIdx="10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B1D0BD2-071E-4A58-ABBB-97E32C325FDD}" type="pres">
      <dgm:prSet presAssocID="{3B0B75B5-F2B7-4860-96A5-2B6059E8347A}" presName="Name13" presStyleLbl="parChTrans1D2" presStyleIdx="11" presStyleCnt="36"/>
      <dgm:spPr/>
      <dgm:t>
        <a:bodyPr/>
        <a:lstStyle/>
        <a:p>
          <a:endParaRPr lang="en-US"/>
        </a:p>
      </dgm:t>
    </dgm:pt>
    <dgm:pt modelId="{F0C52C5D-05F6-4241-B21C-654E08B15853}" type="pres">
      <dgm:prSet presAssocID="{3538F3BE-A1C8-4B06-B675-42DCBD9A2B4F}" presName="childText" presStyleLbl="bgAcc1" presStyleIdx="11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F31994B-B4FE-44BE-AAE1-6CC6F617B441}" type="pres">
      <dgm:prSet presAssocID="{7515B439-3B23-4CCD-99C5-BF7C25509EA1}" presName="Name13" presStyleLbl="parChTrans1D2" presStyleIdx="12" presStyleCnt="36"/>
      <dgm:spPr/>
      <dgm:t>
        <a:bodyPr/>
        <a:lstStyle/>
        <a:p>
          <a:endParaRPr lang="en-US"/>
        </a:p>
      </dgm:t>
    </dgm:pt>
    <dgm:pt modelId="{7E6DFC3C-6023-4D3D-8FE0-D93CF544DFE4}" type="pres">
      <dgm:prSet presAssocID="{2A6B007E-869F-4BB8-97C9-6E659F95D908}" presName="childText" presStyleLbl="bgAcc1" presStyleIdx="12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54DA7F3-05B5-4598-8579-293C6E406D58}" type="pres">
      <dgm:prSet presAssocID="{CC1B9661-C66E-47E5-9F21-0DA8D5A469FD}" presName="Name13" presStyleLbl="parChTrans1D2" presStyleIdx="13" presStyleCnt="36"/>
      <dgm:spPr/>
      <dgm:t>
        <a:bodyPr/>
        <a:lstStyle/>
        <a:p>
          <a:endParaRPr lang="en-US"/>
        </a:p>
      </dgm:t>
    </dgm:pt>
    <dgm:pt modelId="{DD5A8800-B797-4C18-B292-4839548B4865}" type="pres">
      <dgm:prSet presAssocID="{C975E201-D847-4760-8964-58DD61FE5DE4}" presName="childText" presStyleLbl="bgAcc1" presStyleIdx="13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C7F9464-2275-407A-AB07-D87C6C3E0F84}" type="pres">
      <dgm:prSet presAssocID="{15CBE5F3-3E21-4999-8B33-7256BA547677}" presName="Name13" presStyleLbl="parChTrans1D2" presStyleIdx="14" presStyleCnt="36"/>
      <dgm:spPr/>
      <dgm:t>
        <a:bodyPr/>
        <a:lstStyle/>
        <a:p>
          <a:endParaRPr lang="en-US"/>
        </a:p>
      </dgm:t>
    </dgm:pt>
    <dgm:pt modelId="{7F150017-FBA0-447A-AA20-F255B718A94A}" type="pres">
      <dgm:prSet presAssocID="{7C09007E-B0B9-4EA3-A7BC-D6826A238EF6}" presName="childText" presStyleLbl="bgAcc1" presStyleIdx="14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0D50507-E9D7-4D9C-BE7E-77BF3047F9F9}" type="pres">
      <dgm:prSet presAssocID="{C743F798-52DB-48C4-BE0C-10D68FCDDA59}" presName="Name13" presStyleLbl="parChTrans1D2" presStyleIdx="15" presStyleCnt="36"/>
      <dgm:spPr/>
      <dgm:t>
        <a:bodyPr/>
        <a:lstStyle/>
        <a:p>
          <a:endParaRPr lang="en-US"/>
        </a:p>
      </dgm:t>
    </dgm:pt>
    <dgm:pt modelId="{8F5CB6EF-9EAB-43B4-99CE-C3B6D6B8BEEB}" type="pres">
      <dgm:prSet presAssocID="{40D6B296-A2D2-4BCD-87B1-B6458CF6DAD7}" presName="childText" presStyleLbl="bgAcc1" presStyleIdx="15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16622C3-4351-4371-9380-F77BAA73DA5A}" type="pres">
      <dgm:prSet presAssocID="{7829997C-068E-408E-8AC9-D8064199EF1D}" presName="Name13" presStyleLbl="parChTrans1D2" presStyleIdx="16" presStyleCnt="36"/>
      <dgm:spPr/>
      <dgm:t>
        <a:bodyPr/>
        <a:lstStyle/>
        <a:p>
          <a:endParaRPr lang="en-US"/>
        </a:p>
      </dgm:t>
    </dgm:pt>
    <dgm:pt modelId="{DDF65FEB-87D2-4051-99C0-EBB8674A3636}" type="pres">
      <dgm:prSet presAssocID="{16C19FDA-3B80-4ED4-8C96-0D66A4E84CF3}" presName="childText" presStyleLbl="bgAcc1" presStyleIdx="16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A845E62-3199-41CD-A4AD-C59BD5A8CBF1}" type="pres">
      <dgm:prSet presAssocID="{84356721-756A-4A7F-8323-1F94BEFF5772}" presName="Name13" presStyleLbl="parChTrans1D2" presStyleIdx="17" presStyleCnt="36"/>
      <dgm:spPr/>
      <dgm:t>
        <a:bodyPr/>
        <a:lstStyle/>
        <a:p>
          <a:endParaRPr lang="en-US"/>
        </a:p>
      </dgm:t>
    </dgm:pt>
    <dgm:pt modelId="{CAD81D45-AF67-484F-AA1A-03CED993AF1B}" type="pres">
      <dgm:prSet presAssocID="{1FFC9D46-A281-4B56-B93A-D04E6B3A1A6D}" presName="childText" presStyleLbl="bgAcc1" presStyleIdx="17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7960240-0C74-40A4-9876-E58199D12BB8}" type="pres">
      <dgm:prSet presAssocID="{3C8A131B-92F0-42AD-ADD0-EE4FFAA2F5D3}" presName="Name13" presStyleLbl="parChTrans1D2" presStyleIdx="18" presStyleCnt="36"/>
      <dgm:spPr/>
      <dgm:t>
        <a:bodyPr/>
        <a:lstStyle/>
        <a:p>
          <a:endParaRPr lang="en-US"/>
        </a:p>
      </dgm:t>
    </dgm:pt>
    <dgm:pt modelId="{769DE76C-B38B-4991-A465-5A505D0C661B}" type="pres">
      <dgm:prSet presAssocID="{A7836C3C-B3A2-424B-A0AB-91B87935F7E9}" presName="childText" presStyleLbl="bgAcc1" presStyleIdx="18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68AF134-A776-4C49-B9FA-1FECDF9F2479}" type="pres">
      <dgm:prSet presAssocID="{E992FB22-88C0-4D3F-BBB6-04F872B35ECF}" presName="root" presStyleCnt="0"/>
      <dgm:spPr/>
      <dgm:t>
        <a:bodyPr/>
        <a:lstStyle/>
        <a:p>
          <a:endParaRPr lang="en-US"/>
        </a:p>
      </dgm:t>
    </dgm:pt>
    <dgm:pt modelId="{0D068019-6432-41F3-9323-2D48408084C4}" type="pres">
      <dgm:prSet presAssocID="{E992FB22-88C0-4D3F-BBB6-04F872B35ECF}" presName="rootComposite" presStyleCnt="0"/>
      <dgm:spPr/>
      <dgm:t>
        <a:bodyPr/>
        <a:lstStyle/>
        <a:p>
          <a:endParaRPr lang="en-US"/>
        </a:p>
      </dgm:t>
    </dgm:pt>
    <dgm:pt modelId="{7CF3DD82-E10F-4078-841C-A493C18D0A61}" type="pres">
      <dgm:prSet presAssocID="{E992FB22-88C0-4D3F-BBB6-04F872B35ECF}" presName="rootText" presStyleLbl="node1" presStyleIdx="3" presStyleCnt="8"/>
      <dgm:spPr/>
      <dgm:t>
        <a:bodyPr/>
        <a:lstStyle/>
        <a:p>
          <a:endParaRPr lang="en-US"/>
        </a:p>
      </dgm:t>
    </dgm:pt>
    <dgm:pt modelId="{DF0BA6D1-F624-434D-8219-4060E70E1AD3}" type="pres">
      <dgm:prSet presAssocID="{E992FB22-88C0-4D3F-BBB6-04F872B35ECF}" presName="rootConnector" presStyleLbl="node1" presStyleIdx="3" presStyleCnt="8"/>
      <dgm:spPr/>
      <dgm:t>
        <a:bodyPr/>
        <a:lstStyle/>
        <a:p>
          <a:endParaRPr lang="en-US"/>
        </a:p>
      </dgm:t>
    </dgm:pt>
    <dgm:pt modelId="{92907D9A-6B32-47FE-8C69-2AC9E335DA1C}" type="pres">
      <dgm:prSet presAssocID="{E992FB22-88C0-4D3F-BBB6-04F872B35ECF}" presName="childShape" presStyleCnt="0"/>
      <dgm:spPr/>
      <dgm:t>
        <a:bodyPr/>
        <a:lstStyle/>
        <a:p>
          <a:endParaRPr lang="en-US"/>
        </a:p>
      </dgm:t>
    </dgm:pt>
    <dgm:pt modelId="{24FB598C-FE75-47E2-9080-B20266135AAC}" type="pres">
      <dgm:prSet presAssocID="{A99A3D6D-EC51-4B6B-AB21-0B81A40B257B}" presName="Name13" presStyleLbl="parChTrans1D2" presStyleIdx="19" presStyleCnt="36"/>
      <dgm:spPr/>
      <dgm:t>
        <a:bodyPr/>
        <a:lstStyle/>
        <a:p>
          <a:endParaRPr lang="en-US"/>
        </a:p>
      </dgm:t>
    </dgm:pt>
    <dgm:pt modelId="{4E87BE90-57C4-4B95-9A6A-D0D18C17A5C0}" type="pres">
      <dgm:prSet presAssocID="{93394033-425D-4848-A2C7-26382A957020}" presName="childText" presStyleLbl="bgAcc1" presStyleIdx="19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109A364-A418-4313-AE08-31AD8F293BF3}" type="pres">
      <dgm:prSet presAssocID="{EAE2F346-A0FE-44FC-91E9-46932F45A082}" presName="Name13" presStyleLbl="parChTrans1D2" presStyleIdx="20" presStyleCnt="36"/>
      <dgm:spPr/>
      <dgm:t>
        <a:bodyPr/>
        <a:lstStyle/>
        <a:p>
          <a:endParaRPr lang="en-US"/>
        </a:p>
      </dgm:t>
    </dgm:pt>
    <dgm:pt modelId="{BEF96FF5-4A46-4857-9CD8-51A7CB67F568}" type="pres">
      <dgm:prSet presAssocID="{E7445ED7-D278-432C-B41B-CDF6B90E4F32}" presName="childText" presStyleLbl="bgAcc1" presStyleIdx="20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2903D58-6975-4A67-ACDA-F28C96EA78F9}" type="pres">
      <dgm:prSet presAssocID="{A83F985A-CD04-4A21-93C8-8788973CF437}" presName="Name13" presStyleLbl="parChTrans1D2" presStyleIdx="21" presStyleCnt="36"/>
      <dgm:spPr/>
      <dgm:t>
        <a:bodyPr/>
        <a:lstStyle/>
        <a:p>
          <a:endParaRPr lang="en-US"/>
        </a:p>
      </dgm:t>
    </dgm:pt>
    <dgm:pt modelId="{53F12F2A-B697-4C42-978F-CA1490511D2A}" type="pres">
      <dgm:prSet presAssocID="{DB14C436-F9A1-4778-BFD3-77CF88ADDB33}" presName="childText" presStyleLbl="bgAcc1" presStyleIdx="21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85039B8-B31B-4850-836D-DB3D6CEE9DCA}" type="pres">
      <dgm:prSet presAssocID="{9CFC9B21-7483-4BCD-8335-3549007CCDE2}" presName="Name13" presStyleLbl="parChTrans1D2" presStyleIdx="22" presStyleCnt="36"/>
      <dgm:spPr/>
      <dgm:t>
        <a:bodyPr/>
        <a:lstStyle/>
        <a:p>
          <a:endParaRPr lang="en-US"/>
        </a:p>
      </dgm:t>
    </dgm:pt>
    <dgm:pt modelId="{AE8B97A8-8B81-4EA3-BC62-E0D451FC7550}" type="pres">
      <dgm:prSet presAssocID="{45DFDF72-1FC7-4CBB-B883-246AC5215190}" presName="childText" presStyleLbl="bgAcc1" presStyleIdx="22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3C6136D-32CE-453B-8D9A-0B0FF5E7A0E8}" type="pres">
      <dgm:prSet presAssocID="{446EDEE6-AABB-4AEE-B26C-11C002B1582E}" presName="Name13" presStyleLbl="parChTrans1D2" presStyleIdx="23" presStyleCnt="36"/>
      <dgm:spPr/>
      <dgm:t>
        <a:bodyPr/>
        <a:lstStyle/>
        <a:p>
          <a:endParaRPr lang="en-US"/>
        </a:p>
      </dgm:t>
    </dgm:pt>
    <dgm:pt modelId="{546EA778-6715-440A-8E54-E3BD2A78F2A7}" type="pres">
      <dgm:prSet presAssocID="{FEB04FA2-6151-4B52-B51A-4DEC2F2405ED}" presName="childText" presStyleLbl="bgAcc1" presStyleIdx="23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5B78D8C-48BD-40FD-A9D3-37432A593FF5}" type="pres">
      <dgm:prSet presAssocID="{8607EA16-EBD0-4549-9603-665F7AC10C11}" presName="Name13" presStyleLbl="parChTrans1D2" presStyleIdx="24" presStyleCnt="36"/>
      <dgm:spPr/>
      <dgm:t>
        <a:bodyPr/>
        <a:lstStyle/>
        <a:p>
          <a:endParaRPr lang="en-US"/>
        </a:p>
      </dgm:t>
    </dgm:pt>
    <dgm:pt modelId="{434CEC59-6DA2-4AF8-AD83-7CC7E985F817}" type="pres">
      <dgm:prSet presAssocID="{12B1457A-8C97-49DC-A57B-450865ABFD4A}" presName="childText" presStyleLbl="bgAcc1" presStyleIdx="24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F3A94BE-BF2E-4959-8822-A3D2062940F5}" type="pres">
      <dgm:prSet presAssocID="{3453BDCC-A095-469C-9361-C403A69A605E}" presName="root" presStyleCnt="0"/>
      <dgm:spPr/>
      <dgm:t>
        <a:bodyPr/>
        <a:lstStyle/>
        <a:p>
          <a:endParaRPr lang="en-US"/>
        </a:p>
      </dgm:t>
    </dgm:pt>
    <dgm:pt modelId="{9706C124-E493-4CDC-95BB-D4EC787FAB59}" type="pres">
      <dgm:prSet presAssocID="{3453BDCC-A095-469C-9361-C403A69A605E}" presName="rootComposite" presStyleCnt="0"/>
      <dgm:spPr/>
      <dgm:t>
        <a:bodyPr/>
        <a:lstStyle/>
        <a:p>
          <a:endParaRPr lang="en-US"/>
        </a:p>
      </dgm:t>
    </dgm:pt>
    <dgm:pt modelId="{BC36AE6A-9584-499F-BA0A-E5E027F3B4CA}" type="pres">
      <dgm:prSet presAssocID="{3453BDCC-A095-469C-9361-C403A69A605E}" presName="rootText" presStyleLbl="node1" presStyleIdx="4" presStyleCnt="8"/>
      <dgm:spPr/>
      <dgm:t>
        <a:bodyPr/>
        <a:lstStyle/>
        <a:p>
          <a:endParaRPr lang="en-US"/>
        </a:p>
      </dgm:t>
    </dgm:pt>
    <dgm:pt modelId="{090A5FD3-0CA1-4924-A877-583CF5DE4180}" type="pres">
      <dgm:prSet presAssocID="{3453BDCC-A095-469C-9361-C403A69A605E}" presName="rootConnector" presStyleLbl="node1" presStyleIdx="4" presStyleCnt="8"/>
      <dgm:spPr/>
      <dgm:t>
        <a:bodyPr/>
        <a:lstStyle/>
        <a:p>
          <a:endParaRPr lang="en-US"/>
        </a:p>
      </dgm:t>
    </dgm:pt>
    <dgm:pt modelId="{E5C254B7-9D97-439B-A556-C39A9CA56D92}" type="pres">
      <dgm:prSet presAssocID="{3453BDCC-A095-469C-9361-C403A69A605E}" presName="childShape" presStyleCnt="0"/>
      <dgm:spPr/>
      <dgm:t>
        <a:bodyPr/>
        <a:lstStyle/>
        <a:p>
          <a:endParaRPr lang="en-US"/>
        </a:p>
      </dgm:t>
    </dgm:pt>
    <dgm:pt modelId="{FA5F7AE3-3CD0-4E9A-BD19-F1E49FAD3224}" type="pres">
      <dgm:prSet presAssocID="{DE508D97-AA3E-4C63-A099-7DF340A79A94}" presName="Name13" presStyleLbl="parChTrans1D2" presStyleIdx="25" presStyleCnt="36"/>
      <dgm:spPr/>
      <dgm:t>
        <a:bodyPr/>
        <a:lstStyle/>
        <a:p>
          <a:endParaRPr lang="en-US"/>
        </a:p>
      </dgm:t>
    </dgm:pt>
    <dgm:pt modelId="{C1E80ACA-067E-4EAA-8766-14E953F9B13A}" type="pres">
      <dgm:prSet presAssocID="{5AAAA9AC-8600-4401-B282-3DC412A9DC12}" presName="childText" presStyleLbl="bgAcc1" presStyleIdx="25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160BBE6-635A-40F4-A25E-238D0DA9FCFF}" type="pres">
      <dgm:prSet presAssocID="{58AB680D-A3D4-4EA8-B54D-485506F9CA6B}" presName="Name13" presStyleLbl="parChTrans1D2" presStyleIdx="26" presStyleCnt="36"/>
      <dgm:spPr/>
      <dgm:t>
        <a:bodyPr/>
        <a:lstStyle/>
        <a:p>
          <a:endParaRPr lang="en-US"/>
        </a:p>
      </dgm:t>
    </dgm:pt>
    <dgm:pt modelId="{7A588C5D-2329-46FE-B952-0915FA1490D1}" type="pres">
      <dgm:prSet presAssocID="{323A7C75-D774-4C4C-833A-2E17C996C342}" presName="childText" presStyleLbl="bgAcc1" presStyleIdx="26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006B869-75E1-4FC4-8B42-35EEC6AE382E}" type="pres">
      <dgm:prSet presAssocID="{3FA1796E-B685-4A1B-B599-31938FCC8F13}" presName="Name13" presStyleLbl="parChTrans1D2" presStyleIdx="27" presStyleCnt="36"/>
      <dgm:spPr/>
      <dgm:t>
        <a:bodyPr/>
        <a:lstStyle/>
        <a:p>
          <a:endParaRPr lang="en-US"/>
        </a:p>
      </dgm:t>
    </dgm:pt>
    <dgm:pt modelId="{27C7CA61-F3E7-4B8C-A95D-FDB9015BA132}" type="pres">
      <dgm:prSet presAssocID="{76A87ED3-2D50-423F-B568-862EF87DD98D}" presName="childText" presStyleLbl="bgAcc1" presStyleIdx="27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5968FC7-E271-4ED5-B66A-AFFC0947B2F2}" type="pres">
      <dgm:prSet presAssocID="{4B749B47-1249-4C72-90EC-FF78124FEE2B}" presName="Name13" presStyleLbl="parChTrans1D2" presStyleIdx="28" presStyleCnt="36"/>
      <dgm:spPr/>
      <dgm:t>
        <a:bodyPr/>
        <a:lstStyle/>
        <a:p>
          <a:endParaRPr lang="en-US"/>
        </a:p>
      </dgm:t>
    </dgm:pt>
    <dgm:pt modelId="{F26E0EE5-E401-4AA3-9AF6-08682306FD0F}" type="pres">
      <dgm:prSet presAssocID="{3AE59848-0538-4710-AADE-4ED6A63B211B}" presName="childText" presStyleLbl="bgAcc1" presStyleIdx="28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84CF7C8-9662-43DF-9E02-B33B9FC82362}" type="pres">
      <dgm:prSet presAssocID="{33C675B9-845A-486D-AFC7-C0C186D4F539}" presName="root" presStyleCnt="0"/>
      <dgm:spPr/>
      <dgm:t>
        <a:bodyPr/>
        <a:lstStyle/>
        <a:p>
          <a:endParaRPr lang="en-US"/>
        </a:p>
      </dgm:t>
    </dgm:pt>
    <dgm:pt modelId="{5A266F06-F8B6-4710-B8A1-79B5F3AEBEFA}" type="pres">
      <dgm:prSet presAssocID="{33C675B9-845A-486D-AFC7-C0C186D4F539}" presName="rootComposite" presStyleCnt="0"/>
      <dgm:spPr/>
      <dgm:t>
        <a:bodyPr/>
        <a:lstStyle/>
        <a:p>
          <a:endParaRPr lang="en-US"/>
        </a:p>
      </dgm:t>
    </dgm:pt>
    <dgm:pt modelId="{673369D6-198F-4A22-A811-358ABF498ADF}" type="pres">
      <dgm:prSet presAssocID="{33C675B9-845A-486D-AFC7-C0C186D4F539}" presName="rootText" presStyleLbl="node1" presStyleIdx="5" presStyleCnt="8"/>
      <dgm:spPr/>
      <dgm:t>
        <a:bodyPr/>
        <a:lstStyle/>
        <a:p>
          <a:endParaRPr lang="en-US"/>
        </a:p>
      </dgm:t>
    </dgm:pt>
    <dgm:pt modelId="{52167F90-FC8E-4E93-B29A-1D496CBE3D12}" type="pres">
      <dgm:prSet presAssocID="{33C675B9-845A-486D-AFC7-C0C186D4F539}" presName="rootConnector" presStyleLbl="node1" presStyleIdx="5" presStyleCnt="8"/>
      <dgm:spPr/>
      <dgm:t>
        <a:bodyPr/>
        <a:lstStyle/>
        <a:p>
          <a:endParaRPr lang="en-US"/>
        </a:p>
      </dgm:t>
    </dgm:pt>
    <dgm:pt modelId="{832A1AF4-A796-41C1-A5F4-63722CD87A0A}" type="pres">
      <dgm:prSet presAssocID="{33C675B9-845A-486D-AFC7-C0C186D4F539}" presName="childShape" presStyleCnt="0"/>
      <dgm:spPr/>
      <dgm:t>
        <a:bodyPr/>
        <a:lstStyle/>
        <a:p>
          <a:endParaRPr lang="en-US"/>
        </a:p>
      </dgm:t>
    </dgm:pt>
    <dgm:pt modelId="{23969B88-C105-460C-A724-C4A1C495C633}" type="pres">
      <dgm:prSet presAssocID="{B265AAD9-1D30-4848-95B3-F8E642BE61C6}" presName="Name13" presStyleLbl="parChTrans1D2" presStyleIdx="29" presStyleCnt="36"/>
      <dgm:spPr/>
      <dgm:t>
        <a:bodyPr/>
        <a:lstStyle/>
        <a:p>
          <a:endParaRPr lang="en-US"/>
        </a:p>
      </dgm:t>
    </dgm:pt>
    <dgm:pt modelId="{53664FCE-947A-44F1-AB54-4BF777121289}" type="pres">
      <dgm:prSet presAssocID="{19D79DCE-B94C-42D2-8734-29AD66257565}" presName="childText" presStyleLbl="bgAcc1" presStyleIdx="29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61945FD-D963-4776-BC21-674B3C797F56}" type="pres">
      <dgm:prSet presAssocID="{5DB5012E-9F82-4DDE-A7D8-E626B540B832}" presName="Name13" presStyleLbl="parChTrans1D2" presStyleIdx="30" presStyleCnt="36"/>
      <dgm:spPr/>
      <dgm:t>
        <a:bodyPr/>
        <a:lstStyle/>
        <a:p>
          <a:endParaRPr lang="en-US"/>
        </a:p>
      </dgm:t>
    </dgm:pt>
    <dgm:pt modelId="{1EFC97A4-870D-40C3-A400-EF389209510E}" type="pres">
      <dgm:prSet presAssocID="{C851F3BB-292A-44D8-A0E3-23329720B89D}" presName="childText" presStyleLbl="bgAcc1" presStyleIdx="30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AB60AE2-7D35-4F33-B16C-ED02378F2F13}" type="pres">
      <dgm:prSet presAssocID="{3BC3967B-E7D3-4E12-A748-E0638960D2D9}" presName="Name13" presStyleLbl="parChTrans1D2" presStyleIdx="31" presStyleCnt="36"/>
      <dgm:spPr/>
      <dgm:t>
        <a:bodyPr/>
        <a:lstStyle/>
        <a:p>
          <a:endParaRPr lang="en-US"/>
        </a:p>
      </dgm:t>
    </dgm:pt>
    <dgm:pt modelId="{92FA3EDD-169F-41FF-B68C-28903C557486}" type="pres">
      <dgm:prSet presAssocID="{E1523395-99FF-4A7B-8A89-75AE9CA8B2F9}" presName="childText" presStyleLbl="bgAcc1" presStyleIdx="31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9185D0D-F0AF-49A7-A26F-148EF0E656DB}" type="pres">
      <dgm:prSet presAssocID="{8458647B-2263-4081-A717-A1EBF0F464EE}" presName="Name13" presStyleLbl="parChTrans1D2" presStyleIdx="32" presStyleCnt="36"/>
      <dgm:spPr/>
      <dgm:t>
        <a:bodyPr/>
        <a:lstStyle/>
        <a:p>
          <a:endParaRPr lang="en-US"/>
        </a:p>
      </dgm:t>
    </dgm:pt>
    <dgm:pt modelId="{7377C566-E4C8-4A18-A411-C340B94739AE}" type="pres">
      <dgm:prSet presAssocID="{A96CA947-BF12-4BCD-9ED2-C1E2694CF214}" presName="childText" presStyleLbl="bgAcc1" presStyleIdx="32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3088BB0-5DE2-48A8-8626-53959A7D8483}" type="pres">
      <dgm:prSet presAssocID="{4951AAA5-610D-4B97-B9C1-5838A476FA4A}" presName="root" presStyleCnt="0"/>
      <dgm:spPr/>
      <dgm:t>
        <a:bodyPr/>
        <a:lstStyle/>
        <a:p>
          <a:endParaRPr lang="en-US"/>
        </a:p>
      </dgm:t>
    </dgm:pt>
    <dgm:pt modelId="{7085E8FA-43CA-4511-ACC1-8805DF861CC6}" type="pres">
      <dgm:prSet presAssocID="{4951AAA5-610D-4B97-B9C1-5838A476FA4A}" presName="rootComposite" presStyleCnt="0"/>
      <dgm:spPr/>
      <dgm:t>
        <a:bodyPr/>
        <a:lstStyle/>
        <a:p>
          <a:endParaRPr lang="en-US"/>
        </a:p>
      </dgm:t>
    </dgm:pt>
    <dgm:pt modelId="{65CCE5B0-023C-43A0-A0C9-4B359974C012}" type="pres">
      <dgm:prSet presAssocID="{4951AAA5-610D-4B97-B9C1-5838A476FA4A}" presName="rootText" presStyleLbl="node1" presStyleIdx="6" presStyleCnt="8"/>
      <dgm:spPr/>
      <dgm:t>
        <a:bodyPr/>
        <a:lstStyle/>
        <a:p>
          <a:endParaRPr lang="en-US"/>
        </a:p>
      </dgm:t>
    </dgm:pt>
    <dgm:pt modelId="{6F6A9296-0E37-483E-809D-A73BB90E598C}" type="pres">
      <dgm:prSet presAssocID="{4951AAA5-610D-4B97-B9C1-5838A476FA4A}" presName="rootConnector" presStyleLbl="node1" presStyleIdx="6" presStyleCnt="8"/>
      <dgm:spPr/>
      <dgm:t>
        <a:bodyPr/>
        <a:lstStyle/>
        <a:p>
          <a:endParaRPr lang="en-US"/>
        </a:p>
      </dgm:t>
    </dgm:pt>
    <dgm:pt modelId="{02979AA2-06DD-4926-A300-31B9624105D8}" type="pres">
      <dgm:prSet presAssocID="{4951AAA5-610D-4B97-B9C1-5838A476FA4A}" presName="childShape" presStyleCnt="0"/>
      <dgm:spPr/>
      <dgm:t>
        <a:bodyPr/>
        <a:lstStyle/>
        <a:p>
          <a:endParaRPr lang="en-US"/>
        </a:p>
      </dgm:t>
    </dgm:pt>
    <dgm:pt modelId="{0A0F31C1-83B7-4AF5-9D6F-62C831E28FEA}" type="pres">
      <dgm:prSet presAssocID="{7D969707-FF0C-401F-A5D8-EC6661AF023D}" presName="Name13" presStyleLbl="parChTrans1D2" presStyleIdx="33" presStyleCnt="36"/>
      <dgm:spPr/>
      <dgm:t>
        <a:bodyPr/>
        <a:lstStyle/>
        <a:p>
          <a:endParaRPr lang="en-US"/>
        </a:p>
      </dgm:t>
    </dgm:pt>
    <dgm:pt modelId="{CC0D2771-EFE1-4AA7-813D-34E5F549194E}" type="pres">
      <dgm:prSet presAssocID="{9E4C7C04-05B6-42F3-89B7-2DB45C7C32D2}" presName="childText" presStyleLbl="bgAcc1" presStyleIdx="33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9FFEE74-B8D4-4640-8080-9ED527923267}" type="pres">
      <dgm:prSet presAssocID="{B341A608-3522-47F6-948B-E7F2023BD2BD}" presName="root" presStyleCnt="0"/>
      <dgm:spPr/>
      <dgm:t>
        <a:bodyPr/>
        <a:lstStyle/>
        <a:p>
          <a:endParaRPr lang="en-US"/>
        </a:p>
      </dgm:t>
    </dgm:pt>
    <dgm:pt modelId="{00D6BFB1-0A1E-4677-B657-75FD198B4A53}" type="pres">
      <dgm:prSet presAssocID="{B341A608-3522-47F6-948B-E7F2023BD2BD}" presName="rootComposite" presStyleCnt="0"/>
      <dgm:spPr/>
      <dgm:t>
        <a:bodyPr/>
        <a:lstStyle/>
        <a:p>
          <a:endParaRPr lang="en-US"/>
        </a:p>
      </dgm:t>
    </dgm:pt>
    <dgm:pt modelId="{181615D8-AEAA-4D5C-8EF6-2E6B273E476B}" type="pres">
      <dgm:prSet presAssocID="{B341A608-3522-47F6-948B-E7F2023BD2BD}" presName="rootText" presStyleLbl="node1" presStyleIdx="7" presStyleCnt="8"/>
      <dgm:spPr/>
      <dgm:t>
        <a:bodyPr/>
        <a:lstStyle/>
        <a:p>
          <a:endParaRPr lang="en-US"/>
        </a:p>
      </dgm:t>
    </dgm:pt>
    <dgm:pt modelId="{5769084D-21CB-46C1-A426-D8F175682581}" type="pres">
      <dgm:prSet presAssocID="{B341A608-3522-47F6-948B-E7F2023BD2BD}" presName="rootConnector" presStyleLbl="node1" presStyleIdx="7" presStyleCnt="8"/>
      <dgm:spPr/>
      <dgm:t>
        <a:bodyPr/>
        <a:lstStyle/>
        <a:p>
          <a:endParaRPr lang="en-US"/>
        </a:p>
      </dgm:t>
    </dgm:pt>
    <dgm:pt modelId="{72EC2689-3556-44AE-9424-C89AFEBFFB3C}" type="pres">
      <dgm:prSet presAssocID="{B341A608-3522-47F6-948B-E7F2023BD2BD}" presName="childShape" presStyleCnt="0"/>
      <dgm:spPr/>
      <dgm:t>
        <a:bodyPr/>
        <a:lstStyle/>
        <a:p>
          <a:endParaRPr lang="en-US"/>
        </a:p>
      </dgm:t>
    </dgm:pt>
    <dgm:pt modelId="{04760F33-E930-4B33-99AA-393917C17530}" type="pres">
      <dgm:prSet presAssocID="{97C23FEB-3EC3-4217-98C6-5D1618863CE5}" presName="Name13" presStyleLbl="parChTrans1D2" presStyleIdx="34" presStyleCnt="36"/>
      <dgm:spPr/>
      <dgm:t>
        <a:bodyPr/>
        <a:lstStyle/>
        <a:p>
          <a:endParaRPr lang="en-US"/>
        </a:p>
      </dgm:t>
    </dgm:pt>
    <dgm:pt modelId="{CA0A953C-CA51-4C9D-BB2F-7FA298780041}" type="pres">
      <dgm:prSet presAssocID="{45A792FE-0541-44F2-80DB-FD9970F1FA40}" presName="childText" presStyleLbl="bgAcc1" presStyleIdx="34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F46BA09-472E-4192-9093-A2DF92FDC760}" type="pres">
      <dgm:prSet presAssocID="{D3A35D47-89AA-4178-B3A0-C57AF5183B31}" presName="Name13" presStyleLbl="parChTrans1D2" presStyleIdx="35" presStyleCnt="36"/>
      <dgm:spPr/>
      <dgm:t>
        <a:bodyPr/>
        <a:lstStyle/>
        <a:p>
          <a:endParaRPr lang="en-US"/>
        </a:p>
      </dgm:t>
    </dgm:pt>
    <dgm:pt modelId="{7A481514-06CE-4341-B721-DBAA08B680AF}" type="pres">
      <dgm:prSet presAssocID="{443FF0A3-674C-40DB-B8DD-5146ED74B4EE}" presName="childText" presStyleLbl="bgAcc1" presStyleIdx="35" presStyleCnt="3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CAEB95A1-0CDA-44E0-8FB4-36E855CEDA80}" type="presOf" srcId="{EAE2F346-A0FE-44FC-91E9-46932F45A082}" destId="{E109A364-A418-4313-AE08-31AD8F293BF3}" srcOrd="0" destOrd="0" presId="urn:microsoft.com/office/officeart/2005/8/layout/hierarchy3"/>
    <dgm:cxn modelId="{D8A4FEE2-CDD7-489F-90ED-E76B25F0E6EA}" srcId="{A2F5E4C8-222F-427F-86D5-D9B91A94C035}" destId="{F294CDDB-9F64-4C5B-80DE-80533A544934}" srcOrd="3" destOrd="0" parTransId="{71BDBAD7-9719-4352-B099-6449B6CD02F1}" sibTransId="{09EF591F-05EA-485A-BF8D-CD75EB57A8A8}"/>
    <dgm:cxn modelId="{0757E0E9-53A3-42F1-98C8-CBB146F73E39}" srcId="{E992FB22-88C0-4D3F-BBB6-04F872B35ECF}" destId="{E7445ED7-D278-432C-B41B-CDF6B90E4F32}" srcOrd="1" destOrd="0" parTransId="{EAE2F346-A0FE-44FC-91E9-46932F45A082}" sibTransId="{E360968F-9FD5-45CA-982C-0176B6E79EE5}"/>
    <dgm:cxn modelId="{DF99DF85-C852-44A9-895F-0A82DC5A839B}" type="presOf" srcId="{A83F985A-CD04-4A21-93C8-8788973CF437}" destId="{62903D58-6975-4A67-ACDA-F28C96EA78F9}" srcOrd="0" destOrd="0" presId="urn:microsoft.com/office/officeart/2005/8/layout/hierarchy3"/>
    <dgm:cxn modelId="{719DCF41-1F78-4BA2-BBDE-2CF52F3D053E}" type="presOf" srcId="{3FA1796E-B685-4A1B-B599-31938FCC8F13}" destId="{2006B869-75E1-4FC4-8B42-35EEC6AE382E}" srcOrd="0" destOrd="0" presId="urn:microsoft.com/office/officeart/2005/8/layout/hierarchy3"/>
    <dgm:cxn modelId="{E2BAEFEE-6938-45DD-86F3-367FDB01CF40}" srcId="{A2F5E4C8-222F-427F-86D5-D9B91A94C035}" destId="{16C19FDA-3B80-4ED4-8C96-0D66A4E84CF3}" srcOrd="11" destOrd="0" parTransId="{7829997C-068E-408E-8AC9-D8064199EF1D}" sibTransId="{3263F364-A790-4E32-803E-349B946E1473}"/>
    <dgm:cxn modelId="{855D5620-A526-46C5-97DA-74694DB40029}" type="presOf" srcId="{87619584-2F12-41DC-85F3-430DDD185FE6}" destId="{065AC7DB-87F8-486A-8062-4466C9581032}" srcOrd="0" destOrd="0" presId="urn:microsoft.com/office/officeart/2005/8/layout/hierarchy3"/>
    <dgm:cxn modelId="{9CD0F7AD-5EB1-4530-A136-7FB63548CD79}" type="presOf" srcId="{A96CA947-BF12-4BCD-9ED2-C1E2694CF214}" destId="{7377C566-E4C8-4A18-A411-C340B94739AE}" srcOrd="0" destOrd="0" presId="urn:microsoft.com/office/officeart/2005/8/layout/hierarchy3"/>
    <dgm:cxn modelId="{6396769F-14D8-4A98-8AB3-C11C92A22F05}" type="presOf" srcId="{33C675B9-845A-486D-AFC7-C0C186D4F539}" destId="{673369D6-198F-4A22-A811-358ABF498ADF}" srcOrd="0" destOrd="0" presId="urn:microsoft.com/office/officeart/2005/8/layout/hierarchy3"/>
    <dgm:cxn modelId="{6DB381A4-097F-4704-9F5B-DBE6AF1F958A}" type="presOf" srcId="{5E5E5878-9C91-4288-9F90-674154E3589F}" destId="{48CF3CFF-D661-4C5D-9DB2-2683878F547F}" srcOrd="0" destOrd="0" presId="urn:microsoft.com/office/officeart/2005/8/layout/hierarchy3"/>
    <dgm:cxn modelId="{C0BDE249-B1EB-46B8-BF6A-61826E333EC9}" type="presOf" srcId="{1FFC9D46-A281-4B56-B93A-D04E6B3A1A6D}" destId="{CAD81D45-AF67-484F-AA1A-03CED993AF1B}" srcOrd="0" destOrd="0" presId="urn:microsoft.com/office/officeart/2005/8/layout/hierarchy3"/>
    <dgm:cxn modelId="{AAF7CEB4-4B3C-42FF-8EEE-230CBF50F3AB}" srcId="{A2F5E4C8-222F-427F-86D5-D9B91A94C035}" destId="{1FFC9D46-A281-4B56-B93A-D04E6B3A1A6D}" srcOrd="12" destOrd="0" parTransId="{84356721-756A-4A7F-8323-1F94BEFF5772}" sibTransId="{84FDD146-92EE-482D-B58E-6A3607E344E8}"/>
    <dgm:cxn modelId="{B5F1DCDE-F13B-40B9-9DF0-AA0C70625489}" srcId="{B341A608-3522-47F6-948B-E7F2023BD2BD}" destId="{45A792FE-0541-44F2-80DB-FD9970F1FA40}" srcOrd="0" destOrd="0" parTransId="{97C23FEB-3EC3-4217-98C6-5D1618863CE5}" sibTransId="{152AB7AD-174C-4714-91EA-3106E87BD921}"/>
    <dgm:cxn modelId="{4FB05B08-1C80-4C50-9E5A-DFE6D0B3316B}" type="presOf" srcId="{28F6EF35-E81E-486B-A2C9-4100E073B104}" destId="{ECF0C3BF-6204-4536-A74F-6F2C7D8FC2DB}" srcOrd="0" destOrd="0" presId="urn:microsoft.com/office/officeart/2005/8/layout/hierarchy3"/>
    <dgm:cxn modelId="{893F6B34-3986-45BB-AFEE-EB333622FCDA}" type="presOf" srcId="{3538F3BE-A1C8-4B06-B675-42DCBD9A2B4F}" destId="{F0C52C5D-05F6-4241-B21C-654E08B15853}" srcOrd="0" destOrd="0" presId="urn:microsoft.com/office/officeart/2005/8/layout/hierarchy3"/>
    <dgm:cxn modelId="{2525D2F0-6614-4BBE-8AFD-826A62A50C73}" type="presOf" srcId="{19D79DCE-B94C-42D2-8734-29AD66257565}" destId="{53664FCE-947A-44F1-AB54-4BF777121289}" srcOrd="0" destOrd="0" presId="urn:microsoft.com/office/officeart/2005/8/layout/hierarchy3"/>
    <dgm:cxn modelId="{2802C1E8-A5FE-4A6C-B5E6-3BCC6DDB66C3}" srcId="{3453BDCC-A095-469C-9361-C403A69A605E}" destId="{323A7C75-D774-4C4C-833A-2E17C996C342}" srcOrd="1" destOrd="0" parTransId="{58AB680D-A3D4-4EA8-B54D-485506F9CA6B}" sibTransId="{ABE4AC9F-1881-4A00-8D61-7B35C0FB63F0}"/>
    <dgm:cxn modelId="{60C3AFA4-1861-4619-8A74-00A347F59FBC}" srcId="{5D17C2DA-895F-4E22-B36D-8D2DD7B0C129}" destId="{D05466C9-1628-41D5-A5F2-28FF8BEB1D05}" srcOrd="1" destOrd="0" parTransId="{C14D760C-50A0-4860-B260-9F6D7F7D9FDF}" sibTransId="{248F9719-AD79-483A-B0FC-EAF9DE2D2698}"/>
    <dgm:cxn modelId="{BC16A96C-3F7B-4E3E-8EC4-76984A1429C5}" srcId="{D05466C9-1628-41D5-A5F2-28FF8BEB1D05}" destId="{75BDCD28-C502-4253-8F3B-94715282F999}" srcOrd="2" destOrd="0" parTransId="{CF72BCDE-9208-470E-B5B7-35F762071623}" sibTransId="{FFF8D0B9-C681-40D0-8A67-7F32A2652470}"/>
    <dgm:cxn modelId="{D987D99D-E26D-4A04-8CF2-3C13306E6DEC}" srcId="{A2F5E4C8-222F-427F-86D5-D9B91A94C035}" destId="{2A6B007E-869F-4BB8-97C9-6E659F95D908}" srcOrd="7" destOrd="0" parTransId="{7515B439-3B23-4CCD-99C5-BF7C25509EA1}" sibTransId="{D1799833-EADA-4AC3-97BF-0D0B28248051}"/>
    <dgm:cxn modelId="{92908FDF-336E-42DB-94DD-F532283EE93D}" type="presOf" srcId="{84356721-756A-4A7F-8323-1F94BEFF5772}" destId="{BA845E62-3199-41CD-A4AD-C59BD5A8CBF1}" srcOrd="0" destOrd="0" presId="urn:microsoft.com/office/officeart/2005/8/layout/hierarchy3"/>
    <dgm:cxn modelId="{696B9821-7282-498F-AE4D-FB0F4AD6002D}" type="presOf" srcId="{2A6B007E-869F-4BB8-97C9-6E659F95D908}" destId="{7E6DFC3C-6023-4D3D-8FE0-D93CF544DFE4}" srcOrd="0" destOrd="0" presId="urn:microsoft.com/office/officeart/2005/8/layout/hierarchy3"/>
    <dgm:cxn modelId="{55FAEE1E-288D-4CBD-B3E0-1C14B66E22F9}" type="presOf" srcId="{3BC3967B-E7D3-4E12-A748-E0638960D2D9}" destId="{BAB60AE2-7D35-4F33-B16C-ED02378F2F13}" srcOrd="0" destOrd="0" presId="urn:microsoft.com/office/officeart/2005/8/layout/hierarchy3"/>
    <dgm:cxn modelId="{E81D6F60-903D-4143-9AB6-9ADECF5D93C4}" type="presOf" srcId="{443FF0A3-674C-40DB-B8DD-5146ED74B4EE}" destId="{7A481514-06CE-4341-B721-DBAA08B680AF}" srcOrd="0" destOrd="0" presId="urn:microsoft.com/office/officeart/2005/8/layout/hierarchy3"/>
    <dgm:cxn modelId="{D8737C8A-DBD2-4D42-A1A0-FF4ADB241D31}" type="presOf" srcId="{F62A32B5-95A0-4B13-9CB0-3401081E8A85}" destId="{BA491C7C-AB55-4DA8-BBF0-0138574C75FB}" srcOrd="0" destOrd="0" presId="urn:microsoft.com/office/officeart/2005/8/layout/hierarchy3"/>
    <dgm:cxn modelId="{30AFFB86-97F4-44CE-979D-D8878B81F79D}" type="presOf" srcId="{5D17C2DA-895F-4E22-B36D-8D2DD7B0C129}" destId="{A163B9D6-AFBD-430C-8AE8-216B1B439C08}" srcOrd="0" destOrd="0" presId="urn:microsoft.com/office/officeart/2005/8/layout/hierarchy3"/>
    <dgm:cxn modelId="{C2101C66-C2DF-4127-A7FB-3231ED3C96E6}" srcId="{A2F5E4C8-222F-427F-86D5-D9B91A94C035}" destId="{A7836C3C-B3A2-424B-A0AB-91B87935F7E9}" srcOrd="13" destOrd="0" parTransId="{3C8A131B-92F0-42AD-ADD0-EE4FFAA2F5D3}" sibTransId="{4E436E27-79A2-4FFD-836C-0D1C7D5C5D14}"/>
    <dgm:cxn modelId="{35E32720-5A07-4E1C-941B-AC54DEF9D65E}" type="presOf" srcId="{B341A608-3522-47F6-948B-E7F2023BD2BD}" destId="{181615D8-AEAA-4D5C-8EF6-2E6B273E476B}" srcOrd="0" destOrd="0" presId="urn:microsoft.com/office/officeart/2005/8/layout/hierarchy3"/>
    <dgm:cxn modelId="{7549A91A-ECC6-446F-8332-76873DCB9D66}" type="presOf" srcId="{7829997C-068E-408E-8AC9-D8064199EF1D}" destId="{016622C3-4351-4371-9380-F77BAA73DA5A}" srcOrd="0" destOrd="0" presId="urn:microsoft.com/office/officeart/2005/8/layout/hierarchy3"/>
    <dgm:cxn modelId="{0CE52EE8-2B6C-44AC-8ADA-B777371B7D45}" type="presOf" srcId="{8B1B5F3A-47CE-4445-9AC7-683457E795B2}" destId="{B80202C5-A463-4CBF-A3E8-929BE08965E8}" srcOrd="1" destOrd="0" presId="urn:microsoft.com/office/officeart/2005/8/layout/hierarchy3"/>
    <dgm:cxn modelId="{F0A2C20D-C741-4D83-8848-D55BBE9F9403}" type="presOf" srcId="{4951AAA5-610D-4B97-B9C1-5838A476FA4A}" destId="{65CCE5B0-023C-43A0-A0C9-4B359974C012}" srcOrd="0" destOrd="0" presId="urn:microsoft.com/office/officeart/2005/8/layout/hierarchy3"/>
    <dgm:cxn modelId="{E310E5CF-B9D3-4A15-8BF5-0507DEF4E2F3}" type="presOf" srcId="{9E4C7C04-05B6-42F3-89B7-2DB45C7C32D2}" destId="{CC0D2771-EFE1-4AA7-813D-34E5F549194E}" srcOrd="0" destOrd="0" presId="urn:microsoft.com/office/officeart/2005/8/layout/hierarchy3"/>
    <dgm:cxn modelId="{4821B176-7E7D-44B7-82E7-AA1E5BC2B024}" srcId="{A2F5E4C8-222F-427F-86D5-D9B91A94C035}" destId="{C975E201-D847-4760-8964-58DD61FE5DE4}" srcOrd="8" destOrd="0" parTransId="{CC1B9661-C66E-47E5-9F21-0DA8D5A469FD}" sibTransId="{E127F7AA-7DE6-448B-A82E-0C5789A925B1}"/>
    <dgm:cxn modelId="{FBA06BA0-02B0-45F3-A0A4-0421650F453A}" srcId="{33C675B9-845A-486D-AFC7-C0C186D4F539}" destId="{E1523395-99FF-4A7B-8A89-75AE9CA8B2F9}" srcOrd="2" destOrd="0" parTransId="{3BC3967B-E7D3-4E12-A748-E0638960D2D9}" sibTransId="{DFE2DFC4-FF55-4DC9-B443-EA281E96FA05}"/>
    <dgm:cxn modelId="{512C07E9-402B-4A94-BE07-AB48C3251471}" srcId="{33C675B9-845A-486D-AFC7-C0C186D4F539}" destId="{19D79DCE-B94C-42D2-8734-29AD66257565}" srcOrd="0" destOrd="0" parTransId="{B265AAD9-1D30-4848-95B3-F8E642BE61C6}" sibTransId="{E2356292-3664-470A-ADD8-EB4DDC064E1A}"/>
    <dgm:cxn modelId="{17A2274B-1467-49CA-89A8-AE1C2AB1EAD9}" type="presOf" srcId="{8506F5E9-DBA0-4C5A-A21E-985F317125FD}" destId="{E11C5208-6BB5-4DD9-9ED6-8C264082566E}" srcOrd="0" destOrd="0" presId="urn:microsoft.com/office/officeart/2005/8/layout/hierarchy3"/>
    <dgm:cxn modelId="{4AB8B752-0EEF-4F93-B92C-440E5EEE814B}" type="presOf" srcId="{1BC140A6-0B8B-4A9B-A52C-91EB356D10AF}" destId="{0FAD59DE-BAB9-4544-BB81-93A1A117C7A8}" srcOrd="0" destOrd="0" presId="urn:microsoft.com/office/officeart/2005/8/layout/hierarchy3"/>
    <dgm:cxn modelId="{E67B50D3-7218-4271-9EDB-5008CBCA0CBC}" type="presOf" srcId="{B265AAD9-1D30-4848-95B3-F8E642BE61C6}" destId="{23969B88-C105-460C-A724-C4A1C495C633}" srcOrd="0" destOrd="0" presId="urn:microsoft.com/office/officeart/2005/8/layout/hierarchy3"/>
    <dgm:cxn modelId="{048DCD18-49FE-4C51-8410-EEBEC4773372}" type="presOf" srcId="{C975E201-D847-4760-8964-58DD61FE5DE4}" destId="{DD5A8800-B797-4C18-B292-4839548B4865}" srcOrd="0" destOrd="0" presId="urn:microsoft.com/office/officeart/2005/8/layout/hierarchy3"/>
    <dgm:cxn modelId="{BAC64BB1-932D-47EB-8787-909AA57E2510}" srcId="{A2F5E4C8-222F-427F-86D5-D9B91A94C035}" destId="{28F6EF35-E81E-486B-A2C9-4100E073B104}" srcOrd="0" destOrd="0" parTransId="{6E179B6C-EAB1-4D1D-B2E2-B6EB517B25BB}" sibTransId="{E1CECF0B-32C1-41F4-B1DB-80F3D5FF0901}"/>
    <dgm:cxn modelId="{4148145F-91D0-4696-B051-C065E81C0981}" srcId="{5D17C2DA-895F-4E22-B36D-8D2DD7B0C129}" destId="{B341A608-3522-47F6-948B-E7F2023BD2BD}" srcOrd="7" destOrd="0" parTransId="{A7D10C2D-7C17-4D02-88F1-92ABCC242FC7}" sibTransId="{5A0E03CD-342D-45A2-976C-9FB0BDD7A08B}"/>
    <dgm:cxn modelId="{C2151280-0054-4FC2-BA57-7FBC399AF360}" type="presOf" srcId="{7D969707-FF0C-401F-A5D8-EC6661AF023D}" destId="{0A0F31C1-83B7-4AF5-9D6F-62C831E28FEA}" srcOrd="0" destOrd="0" presId="urn:microsoft.com/office/officeart/2005/8/layout/hierarchy3"/>
    <dgm:cxn modelId="{1A1452E6-64D2-4995-AF10-3358F0E23B41}" srcId="{A2F5E4C8-222F-427F-86D5-D9B91A94C035}" destId="{5E5E5878-9C91-4288-9F90-674154E3589F}" srcOrd="1" destOrd="0" parTransId="{EBAA04C3-EF2B-4DF8-91AE-72BD16EC0588}" sibTransId="{5515535D-2B82-472F-AAB6-5004A10D1546}"/>
    <dgm:cxn modelId="{BACA2447-A65C-43BB-8A27-495F50FE3251}" type="presOf" srcId="{D05466C9-1628-41D5-A5F2-28FF8BEB1D05}" destId="{79EB52E4-7F40-46EC-BDEC-83F159D50D81}" srcOrd="1" destOrd="0" presId="urn:microsoft.com/office/officeart/2005/8/layout/hierarchy3"/>
    <dgm:cxn modelId="{B6EB9FE1-BF08-46CE-B23C-6CD8A5978C95}" srcId="{E992FB22-88C0-4D3F-BBB6-04F872B35ECF}" destId="{45DFDF72-1FC7-4CBB-B883-246AC5215190}" srcOrd="3" destOrd="0" parTransId="{9CFC9B21-7483-4BCD-8335-3549007CCDE2}" sibTransId="{4B76AEC5-F589-4501-B8B0-51126CD25AEE}"/>
    <dgm:cxn modelId="{7ADACE5C-FBA6-4F4F-A56C-F77EB66608FF}" type="presOf" srcId="{58AB680D-A3D4-4EA8-B54D-485506F9CA6B}" destId="{3160BBE6-635A-40F4-A25E-238D0DA9FCFF}" srcOrd="0" destOrd="0" presId="urn:microsoft.com/office/officeart/2005/8/layout/hierarchy3"/>
    <dgm:cxn modelId="{227FEB72-39C3-45A9-897C-75B73615B7C4}" srcId="{A2F5E4C8-222F-427F-86D5-D9B91A94C035}" destId="{3538F3BE-A1C8-4B06-B675-42DCBD9A2B4F}" srcOrd="6" destOrd="0" parTransId="{3B0B75B5-F2B7-4860-96A5-2B6059E8347A}" sibTransId="{173ACB58-137E-4946-A7FD-9FC05A0D1DE6}"/>
    <dgm:cxn modelId="{89F264E1-1370-4DA1-B919-371AEAE1C9EA}" type="presOf" srcId="{8607EA16-EBD0-4549-9603-665F7AC10C11}" destId="{05B78D8C-48BD-40FD-A9D3-37432A593FF5}" srcOrd="0" destOrd="0" presId="urn:microsoft.com/office/officeart/2005/8/layout/hierarchy3"/>
    <dgm:cxn modelId="{D8F1CB53-47AF-4C02-83BE-1BC06FB48F99}" type="presOf" srcId="{E992FB22-88C0-4D3F-BBB6-04F872B35ECF}" destId="{DF0BA6D1-F624-434D-8219-4060E70E1AD3}" srcOrd="1" destOrd="0" presId="urn:microsoft.com/office/officeart/2005/8/layout/hierarchy3"/>
    <dgm:cxn modelId="{BC101F9E-32B9-48AC-BE71-0D4D9C8D10E9}" type="presOf" srcId="{323A7C75-D774-4C4C-833A-2E17C996C342}" destId="{7A588C5D-2329-46FE-B952-0915FA1490D1}" srcOrd="0" destOrd="0" presId="urn:microsoft.com/office/officeart/2005/8/layout/hierarchy3"/>
    <dgm:cxn modelId="{F204B13B-D690-4D45-B1B5-2A23A87E284D}" type="presOf" srcId="{4B749B47-1249-4C72-90EC-FF78124FEE2B}" destId="{55968FC7-E271-4ED5-B66A-AFFC0947B2F2}" srcOrd="0" destOrd="0" presId="urn:microsoft.com/office/officeart/2005/8/layout/hierarchy3"/>
    <dgm:cxn modelId="{4A3CE958-A7BB-4931-965F-272A37CA569D}" type="presOf" srcId="{AE79D59E-9658-41E6-9C83-74A1F58A53DB}" destId="{6BCF9735-6A57-4359-9A3C-A9170A8F7407}" srcOrd="0" destOrd="0" presId="urn:microsoft.com/office/officeart/2005/8/layout/hierarchy3"/>
    <dgm:cxn modelId="{88EE9975-E402-4BFD-AE8A-72E762C44FAC}" srcId="{5D17C2DA-895F-4E22-B36D-8D2DD7B0C129}" destId="{E992FB22-88C0-4D3F-BBB6-04F872B35ECF}" srcOrd="3" destOrd="0" parTransId="{7003BDA5-A56C-41CB-B768-FF458094EF58}" sibTransId="{718EA92F-408E-4620-B36D-9090D2600FCE}"/>
    <dgm:cxn modelId="{1EA582E2-CA23-4BF1-9123-116800A32B47}" srcId="{E992FB22-88C0-4D3F-BBB6-04F872B35ECF}" destId="{93394033-425D-4848-A2C7-26382A957020}" srcOrd="0" destOrd="0" parTransId="{A99A3D6D-EC51-4B6B-AB21-0B81A40B257B}" sibTransId="{370AA044-DBEA-40A2-9C3B-EC292E658BD8}"/>
    <dgm:cxn modelId="{C4316561-D1BF-4456-8FB8-E10188C0251E}" type="presOf" srcId="{12B1457A-8C97-49DC-A57B-450865ABFD4A}" destId="{434CEC59-6DA2-4AF8-AD83-7CC7E985F817}" srcOrd="0" destOrd="0" presId="urn:microsoft.com/office/officeart/2005/8/layout/hierarchy3"/>
    <dgm:cxn modelId="{8E8ACF2D-B7F3-4F75-B93A-73BE811D4BD3}" type="presOf" srcId="{A99A3D6D-EC51-4B6B-AB21-0B81A40B257B}" destId="{24FB598C-FE75-47E2-9080-B20266135AAC}" srcOrd="0" destOrd="0" presId="urn:microsoft.com/office/officeart/2005/8/layout/hierarchy3"/>
    <dgm:cxn modelId="{C90088E2-CD16-4B64-AD6B-CE411A934AED}" type="presOf" srcId="{D05466C9-1628-41D5-A5F2-28FF8BEB1D05}" destId="{668654F3-E37D-4063-9B69-3CF85E3283BD}" srcOrd="0" destOrd="0" presId="urn:microsoft.com/office/officeart/2005/8/layout/hierarchy3"/>
    <dgm:cxn modelId="{637F88F1-A9D2-4D16-9F94-740AEC99CD7B}" type="presOf" srcId="{F294CDDB-9F64-4C5B-80DE-80533A544934}" destId="{605C8F62-ED0C-4979-A4F1-63FEBEEF7BE9}" srcOrd="0" destOrd="0" presId="urn:microsoft.com/office/officeart/2005/8/layout/hierarchy3"/>
    <dgm:cxn modelId="{DE8998AC-AFAB-4C11-A85F-6D966D39EC67}" type="presOf" srcId="{E1523395-99FF-4A7B-8A89-75AE9CA8B2F9}" destId="{92FA3EDD-169F-41FF-B68C-28903C557486}" srcOrd="0" destOrd="0" presId="urn:microsoft.com/office/officeart/2005/8/layout/hierarchy3"/>
    <dgm:cxn modelId="{6992AC69-16D0-4AA8-B43E-B652DC0DBBE7}" type="presOf" srcId="{DB14C436-F9A1-4778-BFD3-77CF88ADDB33}" destId="{53F12F2A-B697-4C42-978F-CA1490511D2A}" srcOrd="0" destOrd="0" presId="urn:microsoft.com/office/officeart/2005/8/layout/hierarchy3"/>
    <dgm:cxn modelId="{007D6A17-D470-4BCE-8FC9-AF9FF3E1BCAC}" srcId="{D05466C9-1628-41D5-A5F2-28FF8BEB1D05}" destId="{6DD227C5-217E-491D-B632-579A80D9860E}" srcOrd="0" destOrd="0" parTransId="{AE79D59E-9658-41E6-9C83-74A1F58A53DB}" sibTransId="{65FC6968-231D-4479-A39D-3C1C5A8D49AC}"/>
    <dgm:cxn modelId="{F26C860F-B9AF-409D-9553-4E6253B11AB3}" type="presOf" srcId="{9CFC9B21-7483-4BCD-8335-3549007CCDE2}" destId="{D85039B8-B31B-4850-836D-DB3D6CEE9DCA}" srcOrd="0" destOrd="0" presId="urn:microsoft.com/office/officeart/2005/8/layout/hierarchy3"/>
    <dgm:cxn modelId="{2A766A1F-5F23-4ED2-91DD-EEBBACFC698F}" srcId="{4951AAA5-610D-4B97-B9C1-5838A476FA4A}" destId="{9E4C7C04-05B6-42F3-89B7-2DB45C7C32D2}" srcOrd="0" destOrd="0" parTransId="{7D969707-FF0C-401F-A5D8-EC6661AF023D}" sibTransId="{A9F61834-F0E7-40EA-9D5D-D862198988E2}"/>
    <dgm:cxn modelId="{CF944EF3-6B03-47F5-8446-797EDEE0CF21}" type="presOf" srcId="{67353B1D-37E5-44A6-89DA-2F6D13782642}" destId="{3662917C-5C19-4A32-9394-913A1E5E543C}" srcOrd="0" destOrd="0" presId="urn:microsoft.com/office/officeart/2005/8/layout/hierarchy3"/>
    <dgm:cxn modelId="{CFCF7DE4-D51E-49F1-AB27-A77859DC4E36}" type="presOf" srcId="{C39ECCBC-AE99-49DD-BD19-EB582FE219BF}" destId="{87B2781C-ACA6-419C-AFDC-459883E079CC}" srcOrd="0" destOrd="0" presId="urn:microsoft.com/office/officeart/2005/8/layout/hierarchy3"/>
    <dgm:cxn modelId="{67E1CC43-C498-4CD9-BE87-E43E1AE3C7AF}" srcId="{8B1B5F3A-47CE-4445-9AC7-683457E795B2}" destId="{1E04CA01-AF26-4701-96A1-600DD4101151}" srcOrd="0" destOrd="0" parTransId="{67353B1D-37E5-44A6-89DA-2F6D13782642}" sibTransId="{B5C30FAA-1AC5-45BE-8562-087F5E79781F}"/>
    <dgm:cxn modelId="{4CB69E9E-A03E-4345-A278-D901B144E30F}" type="presOf" srcId="{40D6B296-A2D2-4BCD-87B1-B6458CF6DAD7}" destId="{8F5CB6EF-9EAB-43B4-99CE-C3B6D6B8BEEB}" srcOrd="0" destOrd="0" presId="urn:microsoft.com/office/officeart/2005/8/layout/hierarchy3"/>
    <dgm:cxn modelId="{C558F169-ED3C-40DF-9ADD-6324698ADD5E}" type="presOf" srcId="{6E179B6C-EAB1-4D1D-B2E2-B6EB517B25BB}" destId="{2BBB7EFC-E74F-4439-B509-68D5EAFB139D}" srcOrd="0" destOrd="0" presId="urn:microsoft.com/office/officeart/2005/8/layout/hierarchy3"/>
    <dgm:cxn modelId="{A052C48F-8DCC-492E-A30B-6C7D3200A388}" srcId="{A2F5E4C8-222F-427F-86D5-D9B91A94C035}" destId="{61D7DCF4-F6DF-4C0F-9547-F9DE99A83E30}" srcOrd="4" destOrd="0" parTransId="{87619584-2F12-41DC-85F3-430DDD185FE6}" sibTransId="{EF452666-6ACB-4A3B-89BC-2521AFE41D04}"/>
    <dgm:cxn modelId="{36DA02D2-0DB7-4F63-8E83-5283585A89E3}" srcId="{D05466C9-1628-41D5-A5F2-28FF8BEB1D05}" destId="{4D3A1572-837C-473B-943F-14039E5C78AF}" srcOrd="1" destOrd="0" parTransId="{57D843C8-EE76-4F52-BFA0-1A5122485D09}" sibTransId="{70C04C26-BB6F-456D-85A6-D6773CA0B2F4}"/>
    <dgm:cxn modelId="{32E2B2F4-E65F-4943-9532-5354BB40582C}" type="presOf" srcId="{A2F5E4C8-222F-427F-86D5-D9B91A94C035}" destId="{0816B2D8-4921-4887-8862-F17E793DC5CC}" srcOrd="1" destOrd="0" presId="urn:microsoft.com/office/officeart/2005/8/layout/hierarchy3"/>
    <dgm:cxn modelId="{BD7679AE-DA43-4662-91F2-CFBBB5CBC103}" type="presOf" srcId="{6DD227C5-217E-491D-B632-579A80D9860E}" destId="{DE47FC06-00F3-418D-B502-BF7D634BC69A}" srcOrd="0" destOrd="0" presId="urn:microsoft.com/office/officeart/2005/8/layout/hierarchy3"/>
    <dgm:cxn modelId="{BBBEE432-BB31-4F3A-A911-86910594C675}" type="presOf" srcId="{33C675B9-845A-486D-AFC7-C0C186D4F539}" destId="{52167F90-FC8E-4E93-B29A-1D496CBE3D12}" srcOrd="1" destOrd="0" presId="urn:microsoft.com/office/officeart/2005/8/layout/hierarchy3"/>
    <dgm:cxn modelId="{F5DD8739-BC16-4975-AC93-E85BCC8BD7AF}" type="presOf" srcId="{45A792FE-0541-44F2-80DB-FD9970F1FA40}" destId="{CA0A953C-CA51-4C9D-BB2F-7FA298780041}" srcOrd="0" destOrd="0" presId="urn:microsoft.com/office/officeart/2005/8/layout/hierarchy3"/>
    <dgm:cxn modelId="{6269A041-38B0-487B-BF45-C36974774F88}" srcId="{33C675B9-845A-486D-AFC7-C0C186D4F539}" destId="{A96CA947-BF12-4BCD-9ED2-C1E2694CF214}" srcOrd="3" destOrd="0" parTransId="{8458647B-2263-4081-A717-A1EBF0F464EE}" sibTransId="{B123C3F0-6841-417A-8C7F-608743A0548B}"/>
    <dgm:cxn modelId="{94D69B5D-187C-484F-A0A5-811BAE7F716A}" type="presOf" srcId="{3453BDCC-A095-469C-9361-C403A69A605E}" destId="{BC36AE6A-9584-499F-BA0A-E5E027F3B4CA}" srcOrd="0" destOrd="0" presId="urn:microsoft.com/office/officeart/2005/8/layout/hierarchy3"/>
    <dgm:cxn modelId="{8901196A-6EDB-4DC9-9344-156E0E37A672}" srcId="{A2F5E4C8-222F-427F-86D5-D9B91A94C035}" destId="{8506F5E9-DBA0-4C5A-A21E-985F317125FD}" srcOrd="2" destOrd="0" parTransId="{B4676A85-DD31-4846-B4AA-15998545693D}" sibTransId="{C00C7165-E77E-4D12-BDA6-C0433021D3F2}"/>
    <dgm:cxn modelId="{B55F8984-2825-452C-87A1-1556773CA928}" type="presOf" srcId="{15CBE5F3-3E21-4999-8B33-7256BA547677}" destId="{7C7F9464-2275-407A-AB07-D87C6C3E0F84}" srcOrd="0" destOrd="0" presId="urn:microsoft.com/office/officeart/2005/8/layout/hierarchy3"/>
    <dgm:cxn modelId="{7BD33483-C07C-4551-96DF-2B4DEB41F3F6}" type="presOf" srcId="{FEB04FA2-6151-4B52-B51A-4DEC2F2405ED}" destId="{546EA778-6715-440A-8E54-E3BD2A78F2A7}" srcOrd="0" destOrd="0" presId="urn:microsoft.com/office/officeart/2005/8/layout/hierarchy3"/>
    <dgm:cxn modelId="{121823DC-0E10-4DFB-B28A-528F66021263}" type="presOf" srcId="{45DFDF72-1FC7-4CBB-B883-246AC5215190}" destId="{AE8B97A8-8B81-4EA3-BC62-E0D451FC7550}" srcOrd="0" destOrd="0" presId="urn:microsoft.com/office/officeart/2005/8/layout/hierarchy3"/>
    <dgm:cxn modelId="{7D152C0C-DDB4-4B31-85B5-DE1051F91706}" srcId="{E992FB22-88C0-4D3F-BBB6-04F872B35ECF}" destId="{FEB04FA2-6151-4B52-B51A-4DEC2F2405ED}" srcOrd="4" destOrd="0" parTransId="{446EDEE6-AABB-4AEE-B26C-11C002B1582E}" sibTransId="{B4CFD55B-FB58-4A25-9151-8C2F3900F501}"/>
    <dgm:cxn modelId="{90428C7D-CA1D-4D26-B5B2-A8895EA2217B}" type="presOf" srcId="{E992FB22-88C0-4D3F-BBB6-04F872B35ECF}" destId="{7CF3DD82-E10F-4078-841C-A493C18D0A61}" srcOrd="0" destOrd="0" presId="urn:microsoft.com/office/officeart/2005/8/layout/hierarchy3"/>
    <dgm:cxn modelId="{45341366-A9D5-4DA8-9B1F-47779DF946E9}" srcId="{5D17C2DA-895F-4E22-B36D-8D2DD7B0C129}" destId="{33C675B9-845A-486D-AFC7-C0C186D4F539}" srcOrd="5" destOrd="0" parTransId="{31EC3E64-6B42-42A8-8E96-E5C723B86E7E}" sibTransId="{13851D1E-5EBF-4BF3-A493-AEE71132CCAE}"/>
    <dgm:cxn modelId="{B33C7B9C-569F-40A0-BEE1-A816D6DB72F1}" type="presOf" srcId="{A2F5E4C8-222F-427F-86D5-D9B91A94C035}" destId="{299B2382-4758-4218-B387-F87696475686}" srcOrd="0" destOrd="0" presId="urn:microsoft.com/office/officeart/2005/8/layout/hierarchy3"/>
    <dgm:cxn modelId="{39935CA5-6B9F-4004-99D1-856045CD3633}" type="presOf" srcId="{CF72BCDE-9208-470E-B5B7-35F762071623}" destId="{7ED5F114-CDD2-48CE-9AFE-DF8C760AAAC1}" srcOrd="0" destOrd="0" presId="urn:microsoft.com/office/officeart/2005/8/layout/hierarchy3"/>
    <dgm:cxn modelId="{D85398DD-7B5D-4AFB-B575-91BDF53F8408}" type="presOf" srcId="{C851F3BB-292A-44D8-A0E3-23329720B89D}" destId="{1EFC97A4-870D-40C3-A400-EF389209510E}" srcOrd="0" destOrd="0" presId="urn:microsoft.com/office/officeart/2005/8/layout/hierarchy3"/>
    <dgm:cxn modelId="{ECC126B4-CD3F-405A-847B-2AC273BED52A}" srcId="{A2F5E4C8-222F-427F-86D5-D9B91A94C035}" destId="{B3507E67-5A54-4767-B938-527C8620A7FF}" srcOrd="5" destOrd="0" parTransId="{F62A32B5-95A0-4B13-9CB0-3401081E8A85}" sibTransId="{CB61BB52-F7BD-4518-978B-0C1CAB97ED38}"/>
    <dgm:cxn modelId="{C8BA187C-A512-418D-A9EA-635BD3A46DAE}" srcId="{D05466C9-1628-41D5-A5F2-28FF8BEB1D05}" destId="{1BC140A6-0B8B-4A9B-A52C-91EB356D10AF}" srcOrd="3" destOrd="0" parTransId="{C39ECCBC-AE99-49DD-BD19-EB582FE219BF}" sibTransId="{1090688A-7B13-4056-AFB1-29EB7E37C9F4}"/>
    <dgm:cxn modelId="{15815714-8285-4B5B-9EA6-76FD6A81321C}" type="presOf" srcId="{1E04CA01-AF26-4701-96A1-600DD4101151}" destId="{E5344F81-5164-411B-BCD3-6481D05546C5}" srcOrd="0" destOrd="0" presId="urn:microsoft.com/office/officeart/2005/8/layout/hierarchy3"/>
    <dgm:cxn modelId="{C0EACBF1-4EBA-46ED-AF85-D7EED2A38F8B}" type="presOf" srcId="{5AAAA9AC-8600-4401-B282-3DC412A9DC12}" destId="{C1E80ACA-067E-4EAA-8766-14E953F9B13A}" srcOrd="0" destOrd="0" presId="urn:microsoft.com/office/officeart/2005/8/layout/hierarchy3"/>
    <dgm:cxn modelId="{1D0A0A39-19DF-464F-BC2A-0F0DF8120874}" type="presOf" srcId="{75BDCD28-C502-4253-8F3B-94715282F999}" destId="{2DEF1DEA-34AB-45D5-8A7B-25429454327A}" srcOrd="0" destOrd="0" presId="urn:microsoft.com/office/officeart/2005/8/layout/hierarchy3"/>
    <dgm:cxn modelId="{66251D03-168C-49BB-90CC-DCBC0FBC1DCF}" srcId="{E992FB22-88C0-4D3F-BBB6-04F872B35ECF}" destId="{DB14C436-F9A1-4778-BFD3-77CF88ADDB33}" srcOrd="2" destOrd="0" parTransId="{A83F985A-CD04-4A21-93C8-8788973CF437}" sibTransId="{D137B2E6-0C31-46E6-A4DF-5A6876A88EAF}"/>
    <dgm:cxn modelId="{AD1F20B8-A444-4004-A442-BE87A5B2F4D0}" type="presOf" srcId="{8B1B5F3A-47CE-4445-9AC7-683457E795B2}" destId="{8366F9C9-A1CE-4393-AFF5-3F4551A01800}" srcOrd="0" destOrd="0" presId="urn:microsoft.com/office/officeart/2005/8/layout/hierarchy3"/>
    <dgm:cxn modelId="{4651E496-B979-43D9-9A4A-A1CCD840EC4C}" type="presOf" srcId="{B341A608-3522-47F6-948B-E7F2023BD2BD}" destId="{5769084D-21CB-46C1-A426-D8F175682581}" srcOrd="1" destOrd="0" presId="urn:microsoft.com/office/officeart/2005/8/layout/hierarchy3"/>
    <dgm:cxn modelId="{70692C58-7F8C-498E-8076-E41041C9C859}" type="presOf" srcId="{E7445ED7-D278-432C-B41B-CDF6B90E4F32}" destId="{BEF96FF5-4A46-4857-9CD8-51A7CB67F568}" srcOrd="0" destOrd="0" presId="urn:microsoft.com/office/officeart/2005/8/layout/hierarchy3"/>
    <dgm:cxn modelId="{1C0A667C-BFE7-4B9B-9E96-9EF028B5E9F7}" type="presOf" srcId="{61D7DCF4-F6DF-4C0F-9547-F9DE99A83E30}" destId="{77AE4B88-64EC-4215-BA66-B228FB87CC7B}" srcOrd="0" destOrd="0" presId="urn:microsoft.com/office/officeart/2005/8/layout/hierarchy3"/>
    <dgm:cxn modelId="{27280EB4-AB57-404E-B42D-33E5F1AF87B1}" type="presOf" srcId="{EBAA04C3-EF2B-4DF8-91AE-72BD16EC0588}" destId="{8787B94B-59D3-44B4-AD6D-12A82473FC4A}" srcOrd="0" destOrd="0" presId="urn:microsoft.com/office/officeart/2005/8/layout/hierarchy3"/>
    <dgm:cxn modelId="{59E4D08D-6E0B-400A-8625-7F7A4A8E7C1D}" type="presOf" srcId="{DE508D97-AA3E-4C63-A099-7DF340A79A94}" destId="{FA5F7AE3-3CD0-4E9A-BD19-F1E49FAD3224}" srcOrd="0" destOrd="0" presId="urn:microsoft.com/office/officeart/2005/8/layout/hierarchy3"/>
    <dgm:cxn modelId="{07C7DD20-A5E3-4462-95EC-30020EAB02AB}" srcId="{5D17C2DA-895F-4E22-B36D-8D2DD7B0C129}" destId="{8B1B5F3A-47CE-4445-9AC7-683457E795B2}" srcOrd="0" destOrd="0" parTransId="{1EC54727-7743-4369-9C8C-5355093DE00B}" sibTransId="{B4A6F924-38D2-4AFA-8FBB-0722FF946D4C}"/>
    <dgm:cxn modelId="{AD09CCC3-18D2-488A-A2F2-2F036ED4E0FF}" type="presOf" srcId="{B3507E67-5A54-4767-B938-527C8620A7FF}" destId="{1AC472D6-836D-4501-9611-2FE2651F3843}" srcOrd="0" destOrd="0" presId="urn:microsoft.com/office/officeart/2005/8/layout/hierarchy3"/>
    <dgm:cxn modelId="{3F6C03F9-9332-4900-866C-5C41D178E583}" type="presOf" srcId="{B4676A85-DD31-4846-B4AA-15998545693D}" destId="{77132261-7C75-4984-9B6C-E9AF2F012B0B}" srcOrd="0" destOrd="0" presId="urn:microsoft.com/office/officeart/2005/8/layout/hierarchy3"/>
    <dgm:cxn modelId="{4B982D13-937E-409D-8146-6A46DC516CCD}" srcId="{5D17C2DA-895F-4E22-B36D-8D2DD7B0C129}" destId="{4951AAA5-610D-4B97-B9C1-5838A476FA4A}" srcOrd="6" destOrd="0" parTransId="{7C878F5B-0E97-4DD8-B7CE-1D61EC208743}" sibTransId="{4D4762C8-F28B-4DAC-92D5-E56882CAADA7}"/>
    <dgm:cxn modelId="{C58A17E7-DB74-42F2-AB1F-C8991AFD25DF}" srcId="{5D17C2DA-895F-4E22-B36D-8D2DD7B0C129}" destId="{A2F5E4C8-222F-427F-86D5-D9B91A94C035}" srcOrd="2" destOrd="0" parTransId="{4B2B034F-D236-4771-AA82-8ED4581F2735}" sibTransId="{D67B9820-5D96-496D-A9F1-A449FCE9B076}"/>
    <dgm:cxn modelId="{22A8247E-1E8B-47E9-A17B-05A1F4D0C5EF}" type="presOf" srcId="{A7836C3C-B3A2-424B-A0AB-91B87935F7E9}" destId="{769DE76C-B38B-4991-A465-5A505D0C661B}" srcOrd="0" destOrd="0" presId="urn:microsoft.com/office/officeart/2005/8/layout/hierarchy3"/>
    <dgm:cxn modelId="{CD0FD059-DF5B-49E2-B35A-DE64D78F2C1A}" srcId="{33C675B9-845A-486D-AFC7-C0C186D4F539}" destId="{C851F3BB-292A-44D8-A0E3-23329720B89D}" srcOrd="1" destOrd="0" parTransId="{5DB5012E-9F82-4DDE-A7D8-E626B540B832}" sibTransId="{9BA048FB-03E6-4A21-9A68-6CFDC19C6940}"/>
    <dgm:cxn modelId="{5D0FC357-BC3E-479F-ADE4-C200DA25A0FA}" type="presOf" srcId="{3C8A131B-92F0-42AD-ADD0-EE4FFAA2F5D3}" destId="{C7960240-0C74-40A4-9876-E58199D12BB8}" srcOrd="0" destOrd="0" presId="urn:microsoft.com/office/officeart/2005/8/layout/hierarchy3"/>
    <dgm:cxn modelId="{985CEBED-F280-4B49-AD05-C0B86713E894}" type="presOf" srcId="{3B0B75B5-F2B7-4860-96A5-2B6059E8347A}" destId="{AB1D0BD2-071E-4A58-ABBB-97E32C325FDD}" srcOrd="0" destOrd="0" presId="urn:microsoft.com/office/officeart/2005/8/layout/hierarchy3"/>
    <dgm:cxn modelId="{F8E84207-9C1E-4F2A-B0B0-F897E1BAEF22}" type="presOf" srcId="{93394033-425D-4848-A2C7-26382A957020}" destId="{4E87BE90-57C4-4B95-9A6A-D0D18C17A5C0}" srcOrd="0" destOrd="0" presId="urn:microsoft.com/office/officeart/2005/8/layout/hierarchy3"/>
    <dgm:cxn modelId="{3889F24D-FAC6-4A73-8CA1-02D0B749145E}" srcId="{5D17C2DA-895F-4E22-B36D-8D2DD7B0C129}" destId="{3453BDCC-A095-469C-9361-C403A69A605E}" srcOrd="4" destOrd="0" parTransId="{C2DF998D-386F-4D8D-BACD-34C869BAB99F}" sibTransId="{A106F585-CDC5-4BEA-866C-25BC0A8A8873}"/>
    <dgm:cxn modelId="{16E4E05A-B3F7-4384-BE91-0AA728C94ED0}" type="presOf" srcId="{7C09007E-B0B9-4EA3-A7BC-D6826A238EF6}" destId="{7F150017-FBA0-447A-AA20-F255B718A94A}" srcOrd="0" destOrd="0" presId="urn:microsoft.com/office/officeart/2005/8/layout/hierarchy3"/>
    <dgm:cxn modelId="{FD2470D3-FF20-4B65-8D10-61A069FD2CF4}" type="presOf" srcId="{4D3A1572-837C-473B-943F-14039E5C78AF}" destId="{312E77CC-3B84-4D27-AE1B-EE3228FC6C5F}" srcOrd="0" destOrd="0" presId="urn:microsoft.com/office/officeart/2005/8/layout/hierarchy3"/>
    <dgm:cxn modelId="{71A35283-8559-4B80-8254-32F0540D1CC3}" srcId="{3453BDCC-A095-469C-9361-C403A69A605E}" destId="{76A87ED3-2D50-423F-B568-862EF87DD98D}" srcOrd="2" destOrd="0" parTransId="{3FA1796E-B685-4A1B-B599-31938FCC8F13}" sibTransId="{FD1EA229-CD04-4005-BA71-D7E61DDB2A11}"/>
    <dgm:cxn modelId="{9438E329-932B-48D9-8571-1517374DCAF7}" srcId="{E992FB22-88C0-4D3F-BBB6-04F872B35ECF}" destId="{12B1457A-8C97-49DC-A57B-450865ABFD4A}" srcOrd="5" destOrd="0" parTransId="{8607EA16-EBD0-4549-9603-665F7AC10C11}" sibTransId="{CD5417DA-07F5-4591-94CC-4D1D29395DDC}"/>
    <dgm:cxn modelId="{66C5993F-FEFE-4CE5-90AF-BDF9353270D8}" srcId="{3453BDCC-A095-469C-9361-C403A69A605E}" destId="{3AE59848-0538-4710-AADE-4ED6A63B211B}" srcOrd="3" destOrd="0" parTransId="{4B749B47-1249-4C72-90EC-FF78124FEE2B}" sibTransId="{1DA50FAD-7487-4DC7-B085-E285C3C5C696}"/>
    <dgm:cxn modelId="{C2A9973B-8AFF-4088-A1F5-02D456BCC202}" srcId="{B341A608-3522-47F6-948B-E7F2023BD2BD}" destId="{443FF0A3-674C-40DB-B8DD-5146ED74B4EE}" srcOrd="1" destOrd="0" parTransId="{D3A35D47-89AA-4178-B3A0-C57AF5183B31}" sibTransId="{4C2F2315-4219-4347-B01C-B03098FE4F22}"/>
    <dgm:cxn modelId="{8F2DC9B4-B6A7-4B62-970B-EEA44C00712D}" type="presOf" srcId="{4951AAA5-610D-4B97-B9C1-5838A476FA4A}" destId="{6F6A9296-0E37-483E-809D-A73BB90E598C}" srcOrd="1" destOrd="0" presId="urn:microsoft.com/office/officeart/2005/8/layout/hierarchy3"/>
    <dgm:cxn modelId="{3F8D9349-76DC-440D-8951-00C0322B5C40}" type="presOf" srcId="{5DB5012E-9F82-4DDE-A7D8-E626B540B832}" destId="{F61945FD-D963-4776-BC21-674B3C797F56}" srcOrd="0" destOrd="0" presId="urn:microsoft.com/office/officeart/2005/8/layout/hierarchy3"/>
    <dgm:cxn modelId="{880803AB-1A8A-4163-96F2-AFB7081B4C56}" srcId="{A2F5E4C8-222F-427F-86D5-D9B91A94C035}" destId="{40D6B296-A2D2-4BCD-87B1-B6458CF6DAD7}" srcOrd="10" destOrd="0" parTransId="{C743F798-52DB-48C4-BE0C-10D68FCDDA59}" sibTransId="{CA77D2A6-9741-4F65-986D-CA7FC0FE5C1B}"/>
    <dgm:cxn modelId="{8DD80D82-ACCB-4A5E-9159-86AF5CD07C47}" type="presOf" srcId="{446EDEE6-AABB-4AEE-B26C-11C002B1582E}" destId="{63C6136D-32CE-453B-8D9A-0B0FF5E7A0E8}" srcOrd="0" destOrd="0" presId="urn:microsoft.com/office/officeart/2005/8/layout/hierarchy3"/>
    <dgm:cxn modelId="{39D1C018-F403-4FE1-92C9-EE6FD9AD1191}" type="presOf" srcId="{16C19FDA-3B80-4ED4-8C96-0D66A4E84CF3}" destId="{DDF65FEB-87D2-4051-99C0-EBB8674A3636}" srcOrd="0" destOrd="0" presId="urn:microsoft.com/office/officeart/2005/8/layout/hierarchy3"/>
    <dgm:cxn modelId="{F6EB01D7-8B44-4B89-9B0B-6207AB343F31}" srcId="{3453BDCC-A095-469C-9361-C403A69A605E}" destId="{5AAAA9AC-8600-4401-B282-3DC412A9DC12}" srcOrd="0" destOrd="0" parTransId="{DE508D97-AA3E-4C63-A099-7DF340A79A94}" sibTransId="{6021EBF4-80C7-4267-8279-573CCF320718}"/>
    <dgm:cxn modelId="{B87B864F-8164-490B-B917-46CD4BFAA560}" type="presOf" srcId="{3AE59848-0538-4710-AADE-4ED6A63B211B}" destId="{F26E0EE5-E401-4AA3-9AF6-08682306FD0F}" srcOrd="0" destOrd="0" presId="urn:microsoft.com/office/officeart/2005/8/layout/hierarchy3"/>
    <dgm:cxn modelId="{969FCBE2-AFFC-450F-9528-ED23225CFC96}" type="presOf" srcId="{3453BDCC-A095-469C-9361-C403A69A605E}" destId="{090A5FD3-0CA1-4924-A877-583CF5DE4180}" srcOrd="1" destOrd="0" presId="urn:microsoft.com/office/officeart/2005/8/layout/hierarchy3"/>
    <dgm:cxn modelId="{63E0FA6E-63E4-483D-A570-DB492BE2E4E0}" type="presOf" srcId="{76A87ED3-2D50-423F-B568-862EF87DD98D}" destId="{27C7CA61-F3E7-4B8C-A95D-FDB9015BA132}" srcOrd="0" destOrd="0" presId="urn:microsoft.com/office/officeart/2005/8/layout/hierarchy3"/>
    <dgm:cxn modelId="{B23BD052-0E65-40CA-A57B-495290048092}" type="presOf" srcId="{97C23FEB-3EC3-4217-98C6-5D1618863CE5}" destId="{04760F33-E930-4B33-99AA-393917C17530}" srcOrd="0" destOrd="0" presId="urn:microsoft.com/office/officeart/2005/8/layout/hierarchy3"/>
    <dgm:cxn modelId="{5EF1113B-A54D-441D-8260-2CF9D6733D15}" type="presOf" srcId="{57D843C8-EE76-4F52-BFA0-1A5122485D09}" destId="{56D06439-B4F4-4205-AB77-71108BC9AE8D}" srcOrd="0" destOrd="0" presId="urn:microsoft.com/office/officeart/2005/8/layout/hierarchy3"/>
    <dgm:cxn modelId="{9A88A82D-3F52-4B45-B83C-61D7102ADA03}" type="presOf" srcId="{7515B439-3B23-4CCD-99C5-BF7C25509EA1}" destId="{CF31994B-B4FE-44BE-AAE1-6CC6F617B441}" srcOrd="0" destOrd="0" presId="urn:microsoft.com/office/officeart/2005/8/layout/hierarchy3"/>
    <dgm:cxn modelId="{6D193939-9D15-4271-A360-ABC359630FC0}" type="presOf" srcId="{D3A35D47-89AA-4178-B3A0-C57AF5183B31}" destId="{BF46BA09-472E-4192-9093-A2DF92FDC760}" srcOrd="0" destOrd="0" presId="urn:microsoft.com/office/officeart/2005/8/layout/hierarchy3"/>
    <dgm:cxn modelId="{6BFC0ECA-815D-4BB3-B641-5C6532D0D4FC}" type="presOf" srcId="{C743F798-52DB-48C4-BE0C-10D68FCDDA59}" destId="{C0D50507-E9D7-4D9C-BE7E-77BF3047F9F9}" srcOrd="0" destOrd="0" presId="urn:microsoft.com/office/officeart/2005/8/layout/hierarchy3"/>
    <dgm:cxn modelId="{34B643D7-4471-484B-96DD-A14D9E32DC13}" srcId="{A2F5E4C8-222F-427F-86D5-D9B91A94C035}" destId="{7C09007E-B0B9-4EA3-A7BC-D6826A238EF6}" srcOrd="9" destOrd="0" parTransId="{15CBE5F3-3E21-4999-8B33-7256BA547677}" sibTransId="{2C077BC9-FF33-4114-B9F6-F9A61E9CAB5F}"/>
    <dgm:cxn modelId="{0C49A3BD-8A26-4A09-AB18-7561220A5135}" type="presOf" srcId="{71BDBAD7-9719-4352-B099-6449B6CD02F1}" destId="{0772B14C-AB87-4681-95B0-B1C2F0210391}" srcOrd="0" destOrd="0" presId="urn:microsoft.com/office/officeart/2005/8/layout/hierarchy3"/>
    <dgm:cxn modelId="{9208DDE7-EBE7-4E77-A07F-AD50006F86BA}" type="presOf" srcId="{CC1B9661-C66E-47E5-9F21-0DA8D5A469FD}" destId="{654DA7F3-05B5-4598-8579-293C6E406D58}" srcOrd="0" destOrd="0" presId="urn:microsoft.com/office/officeart/2005/8/layout/hierarchy3"/>
    <dgm:cxn modelId="{EE04C5EA-975B-4737-A23E-53D5E70EF725}" type="presOf" srcId="{8458647B-2263-4081-A717-A1EBF0F464EE}" destId="{D9185D0D-F0AF-49A7-A26F-148EF0E656DB}" srcOrd="0" destOrd="0" presId="urn:microsoft.com/office/officeart/2005/8/layout/hierarchy3"/>
    <dgm:cxn modelId="{E60AF153-60CD-4F82-B3D9-BA0437A9EC0B}" type="presParOf" srcId="{A163B9D6-AFBD-430C-8AE8-216B1B439C08}" destId="{08F6EE59-5E75-4A01-8997-D219C447C2ED}" srcOrd="0" destOrd="0" presId="urn:microsoft.com/office/officeart/2005/8/layout/hierarchy3"/>
    <dgm:cxn modelId="{179A1FC6-53EB-44D6-92B1-5A654A734C2D}" type="presParOf" srcId="{08F6EE59-5E75-4A01-8997-D219C447C2ED}" destId="{689B8807-D4FA-4E93-AC03-1E3478B853D4}" srcOrd="0" destOrd="0" presId="urn:microsoft.com/office/officeart/2005/8/layout/hierarchy3"/>
    <dgm:cxn modelId="{F630B75D-81EF-48E9-AF7B-AABD086AD7E5}" type="presParOf" srcId="{689B8807-D4FA-4E93-AC03-1E3478B853D4}" destId="{8366F9C9-A1CE-4393-AFF5-3F4551A01800}" srcOrd="0" destOrd="0" presId="urn:microsoft.com/office/officeart/2005/8/layout/hierarchy3"/>
    <dgm:cxn modelId="{EEACB515-C43B-4F4D-B55A-3D489C7D0F37}" type="presParOf" srcId="{689B8807-D4FA-4E93-AC03-1E3478B853D4}" destId="{B80202C5-A463-4CBF-A3E8-929BE08965E8}" srcOrd="1" destOrd="0" presId="urn:microsoft.com/office/officeart/2005/8/layout/hierarchy3"/>
    <dgm:cxn modelId="{BFB68C6A-E6AB-44F9-8D81-2072C396DA4B}" type="presParOf" srcId="{08F6EE59-5E75-4A01-8997-D219C447C2ED}" destId="{46553A75-20FB-4912-A391-2A8D12C7101B}" srcOrd="1" destOrd="0" presId="urn:microsoft.com/office/officeart/2005/8/layout/hierarchy3"/>
    <dgm:cxn modelId="{B6A7C8D6-C5A8-46FB-9608-3810BBCFA2E5}" type="presParOf" srcId="{46553A75-20FB-4912-A391-2A8D12C7101B}" destId="{3662917C-5C19-4A32-9394-913A1E5E543C}" srcOrd="0" destOrd="0" presId="urn:microsoft.com/office/officeart/2005/8/layout/hierarchy3"/>
    <dgm:cxn modelId="{C228497D-7975-4833-91BC-28623D29BED8}" type="presParOf" srcId="{46553A75-20FB-4912-A391-2A8D12C7101B}" destId="{E5344F81-5164-411B-BCD3-6481D05546C5}" srcOrd="1" destOrd="0" presId="urn:microsoft.com/office/officeart/2005/8/layout/hierarchy3"/>
    <dgm:cxn modelId="{3A40DE51-D339-4056-BD61-09ABBC6FE013}" type="presParOf" srcId="{A163B9D6-AFBD-430C-8AE8-216B1B439C08}" destId="{E6F73282-4168-4DD8-B023-DEE47401580A}" srcOrd="1" destOrd="0" presId="urn:microsoft.com/office/officeart/2005/8/layout/hierarchy3"/>
    <dgm:cxn modelId="{9FAEF03D-D586-4C5A-976E-2F5CB947A1D2}" type="presParOf" srcId="{E6F73282-4168-4DD8-B023-DEE47401580A}" destId="{1CB1BD3E-7DA7-4146-9B64-4D7B4D382E8B}" srcOrd="0" destOrd="0" presId="urn:microsoft.com/office/officeart/2005/8/layout/hierarchy3"/>
    <dgm:cxn modelId="{0B39DA19-2722-4AAC-97E1-8F83F5293F02}" type="presParOf" srcId="{1CB1BD3E-7DA7-4146-9B64-4D7B4D382E8B}" destId="{668654F3-E37D-4063-9B69-3CF85E3283BD}" srcOrd="0" destOrd="0" presId="urn:microsoft.com/office/officeart/2005/8/layout/hierarchy3"/>
    <dgm:cxn modelId="{9CE8E8A2-724A-44B3-9854-7C67171EB3D7}" type="presParOf" srcId="{1CB1BD3E-7DA7-4146-9B64-4D7B4D382E8B}" destId="{79EB52E4-7F40-46EC-BDEC-83F159D50D81}" srcOrd="1" destOrd="0" presId="urn:microsoft.com/office/officeart/2005/8/layout/hierarchy3"/>
    <dgm:cxn modelId="{8E02C86D-17D2-4280-9C2E-BB3F6CA9497E}" type="presParOf" srcId="{E6F73282-4168-4DD8-B023-DEE47401580A}" destId="{DF3BCDC2-B455-4769-9889-ACFDAE15A07D}" srcOrd="1" destOrd="0" presId="urn:microsoft.com/office/officeart/2005/8/layout/hierarchy3"/>
    <dgm:cxn modelId="{1A24715F-5BEE-4C24-BEBD-A9CDE307C960}" type="presParOf" srcId="{DF3BCDC2-B455-4769-9889-ACFDAE15A07D}" destId="{6BCF9735-6A57-4359-9A3C-A9170A8F7407}" srcOrd="0" destOrd="0" presId="urn:microsoft.com/office/officeart/2005/8/layout/hierarchy3"/>
    <dgm:cxn modelId="{2D369729-B339-4E49-A87D-78E705426C8A}" type="presParOf" srcId="{DF3BCDC2-B455-4769-9889-ACFDAE15A07D}" destId="{DE47FC06-00F3-418D-B502-BF7D634BC69A}" srcOrd="1" destOrd="0" presId="urn:microsoft.com/office/officeart/2005/8/layout/hierarchy3"/>
    <dgm:cxn modelId="{E9C873E4-D56C-4B09-8381-DC3BD80FD779}" type="presParOf" srcId="{DF3BCDC2-B455-4769-9889-ACFDAE15A07D}" destId="{56D06439-B4F4-4205-AB77-71108BC9AE8D}" srcOrd="2" destOrd="0" presId="urn:microsoft.com/office/officeart/2005/8/layout/hierarchy3"/>
    <dgm:cxn modelId="{CE4785DA-D5BA-47F7-AA06-B9198AC73F20}" type="presParOf" srcId="{DF3BCDC2-B455-4769-9889-ACFDAE15A07D}" destId="{312E77CC-3B84-4D27-AE1B-EE3228FC6C5F}" srcOrd="3" destOrd="0" presId="urn:microsoft.com/office/officeart/2005/8/layout/hierarchy3"/>
    <dgm:cxn modelId="{F49AE798-5887-4B69-A0D5-B06C4C7DCB04}" type="presParOf" srcId="{DF3BCDC2-B455-4769-9889-ACFDAE15A07D}" destId="{7ED5F114-CDD2-48CE-9AFE-DF8C760AAAC1}" srcOrd="4" destOrd="0" presId="urn:microsoft.com/office/officeart/2005/8/layout/hierarchy3"/>
    <dgm:cxn modelId="{CD937C52-93B4-49CC-A4E3-B0CA8DBFD426}" type="presParOf" srcId="{DF3BCDC2-B455-4769-9889-ACFDAE15A07D}" destId="{2DEF1DEA-34AB-45D5-8A7B-25429454327A}" srcOrd="5" destOrd="0" presId="urn:microsoft.com/office/officeart/2005/8/layout/hierarchy3"/>
    <dgm:cxn modelId="{63CED178-6D3D-4A53-9C10-76F679DE2726}" type="presParOf" srcId="{DF3BCDC2-B455-4769-9889-ACFDAE15A07D}" destId="{87B2781C-ACA6-419C-AFDC-459883E079CC}" srcOrd="6" destOrd="0" presId="urn:microsoft.com/office/officeart/2005/8/layout/hierarchy3"/>
    <dgm:cxn modelId="{FDF07FBE-5489-4DF7-8D73-F57D8D0B2645}" type="presParOf" srcId="{DF3BCDC2-B455-4769-9889-ACFDAE15A07D}" destId="{0FAD59DE-BAB9-4544-BB81-93A1A117C7A8}" srcOrd="7" destOrd="0" presId="urn:microsoft.com/office/officeart/2005/8/layout/hierarchy3"/>
    <dgm:cxn modelId="{5A76BC25-E14A-489F-8901-9FF6F89BCFEC}" type="presParOf" srcId="{A163B9D6-AFBD-430C-8AE8-216B1B439C08}" destId="{89523865-D1A5-4BEC-A782-16ACA3CACB6F}" srcOrd="2" destOrd="0" presId="urn:microsoft.com/office/officeart/2005/8/layout/hierarchy3"/>
    <dgm:cxn modelId="{A9A37B63-C131-4A07-B3D3-A082E2552701}" type="presParOf" srcId="{89523865-D1A5-4BEC-A782-16ACA3CACB6F}" destId="{E3C0DE76-9BBD-486B-9FDF-6C384C9E99E2}" srcOrd="0" destOrd="0" presId="urn:microsoft.com/office/officeart/2005/8/layout/hierarchy3"/>
    <dgm:cxn modelId="{2756F12C-0B9C-4736-8E8A-F5D874272231}" type="presParOf" srcId="{E3C0DE76-9BBD-486B-9FDF-6C384C9E99E2}" destId="{299B2382-4758-4218-B387-F87696475686}" srcOrd="0" destOrd="0" presId="urn:microsoft.com/office/officeart/2005/8/layout/hierarchy3"/>
    <dgm:cxn modelId="{1BE3A4B5-03C8-4316-95E9-667C2C070080}" type="presParOf" srcId="{E3C0DE76-9BBD-486B-9FDF-6C384C9E99E2}" destId="{0816B2D8-4921-4887-8862-F17E793DC5CC}" srcOrd="1" destOrd="0" presId="urn:microsoft.com/office/officeart/2005/8/layout/hierarchy3"/>
    <dgm:cxn modelId="{E59606E3-541C-418D-A268-7F3B4EAEC867}" type="presParOf" srcId="{89523865-D1A5-4BEC-A782-16ACA3CACB6F}" destId="{D115A618-A5BB-420B-8332-3A3BC9D5EA44}" srcOrd="1" destOrd="0" presId="urn:microsoft.com/office/officeart/2005/8/layout/hierarchy3"/>
    <dgm:cxn modelId="{E215C030-4608-4849-AA53-6ADEDB9E2F41}" type="presParOf" srcId="{D115A618-A5BB-420B-8332-3A3BC9D5EA44}" destId="{2BBB7EFC-E74F-4439-B509-68D5EAFB139D}" srcOrd="0" destOrd="0" presId="urn:microsoft.com/office/officeart/2005/8/layout/hierarchy3"/>
    <dgm:cxn modelId="{38DB4067-8ED8-47D9-B466-4486B8B48388}" type="presParOf" srcId="{D115A618-A5BB-420B-8332-3A3BC9D5EA44}" destId="{ECF0C3BF-6204-4536-A74F-6F2C7D8FC2DB}" srcOrd="1" destOrd="0" presId="urn:microsoft.com/office/officeart/2005/8/layout/hierarchy3"/>
    <dgm:cxn modelId="{001B7CE4-7029-45AC-89B9-CFC5FB11E90E}" type="presParOf" srcId="{D115A618-A5BB-420B-8332-3A3BC9D5EA44}" destId="{8787B94B-59D3-44B4-AD6D-12A82473FC4A}" srcOrd="2" destOrd="0" presId="urn:microsoft.com/office/officeart/2005/8/layout/hierarchy3"/>
    <dgm:cxn modelId="{FF3AE404-FF84-4A04-9705-CCFE8A7859C0}" type="presParOf" srcId="{D115A618-A5BB-420B-8332-3A3BC9D5EA44}" destId="{48CF3CFF-D661-4C5D-9DB2-2683878F547F}" srcOrd="3" destOrd="0" presId="urn:microsoft.com/office/officeart/2005/8/layout/hierarchy3"/>
    <dgm:cxn modelId="{4BA86557-BE0E-4F1E-AAA6-7549E303F149}" type="presParOf" srcId="{D115A618-A5BB-420B-8332-3A3BC9D5EA44}" destId="{77132261-7C75-4984-9B6C-E9AF2F012B0B}" srcOrd="4" destOrd="0" presId="urn:microsoft.com/office/officeart/2005/8/layout/hierarchy3"/>
    <dgm:cxn modelId="{BB0053A0-8F77-475D-A27E-677F1EE34D9C}" type="presParOf" srcId="{D115A618-A5BB-420B-8332-3A3BC9D5EA44}" destId="{E11C5208-6BB5-4DD9-9ED6-8C264082566E}" srcOrd="5" destOrd="0" presId="urn:microsoft.com/office/officeart/2005/8/layout/hierarchy3"/>
    <dgm:cxn modelId="{56D17008-1FDB-4162-945A-51EB8D6F61E8}" type="presParOf" srcId="{D115A618-A5BB-420B-8332-3A3BC9D5EA44}" destId="{0772B14C-AB87-4681-95B0-B1C2F0210391}" srcOrd="6" destOrd="0" presId="urn:microsoft.com/office/officeart/2005/8/layout/hierarchy3"/>
    <dgm:cxn modelId="{EA6C8A91-740F-42A6-9922-F22193B68351}" type="presParOf" srcId="{D115A618-A5BB-420B-8332-3A3BC9D5EA44}" destId="{605C8F62-ED0C-4979-A4F1-63FEBEEF7BE9}" srcOrd="7" destOrd="0" presId="urn:microsoft.com/office/officeart/2005/8/layout/hierarchy3"/>
    <dgm:cxn modelId="{85AA49C0-1814-4D45-9378-D0F603DD21B9}" type="presParOf" srcId="{D115A618-A5BB-420B-8332-3A3BC9D5EA44}" destId="{065AC7DB-87F8-486A-8062-4466C9581032}" srcOrd="8" destOrd="0" presId="urn:microsoft.com/office/officeart/2005/8/layout/hierarchy3"/>
    <dgm:cxn modelId="{0A3747F2-F9CF-4CE2-93EC-6E79D6262F46}" type="presParOf" srcId="{D115A618-A5BB-420B-8332-3A3BC9D5EA44}" destId="{77AE4B88-64EC-4215-BA66-B228FB87CC7B}" srcOrd="9" destOrd="0" presId="urn:microsoft.com/office/officeart/2005/8/layout/hierarchy3"/>
    <dgm:cxn modelId="{F08B4690-3CCA-4EA6-8961-F0216B3C1C5E}" type="presParOf" srcId="{D115A618-A5BB-420B-8332-3A3BC9D5EA44}" destId="{BA491C7C-AB55-4DA8-BBF0-0138574C75FB}" srcOrd="10" destOrd="0" presId="urn:microsoft.com/office/officeart/2005/8/layout/hierarchy3"/>
    <dgm:cxn modelId="{100BF9DE-EBCF-4BB8-977B-9175C486D2E9}" type="presParOf" srcId="{D115A618-A5BB-420B-8332-3A3BC9D5EA44}" destId="{1AC472D6-836D-4501-9611-2FE2651F3843}" srcOrd="11" destOrd="0" presId="urn:microsoft.com/office/officeart/2005/8/layout/hierarchy3"/>
    <dgm:cxn modelId="{D927982B-3A68-479B-8282-8858597E1DBB}" type="presParOf" srcId="{D115A618-A5BB-420B-8332-3A3BC9D5EA44}" destId="{AB1D0BD2-071E-4A58-ABBB-97E32C325FDD}" srcOrd="12" destOrd="0" presId="urn:microsoft.com/office/officeart/2005/8/layout/hierarchy3"/>
    <dgm:cxn modelId="{8F7BBE54-10BD-48C2-8B1E-AA1968E0FFC4}" type="presParOf" srcId="{D115A618-A5BB-420B-8332-3A3BC9D5EA44}" destId="{F0C52C5D-05F6-4241-B21C-654E08B15853}" srcOrd="13" destOrd="0" presId="urn:microsoft.com/office/officeart/2005/8/layout/hierarchy3"/>
    <dgm:cxn modelId="{C2B8993B-EBEB-49BA-B332-41F79F31A0CE}" type="presParOf" srcId="{D115A618-A5BB-420B-8332-3A3BC9D5EA44}" destId="{CF31994B-B4FE-44BE-AAE1-6CC6F617B441}" srcOrd="14" destOrd="0" presId="urn:microsoft.com/office/officeart/2005/8/layout/hierarchy3"/>
    <dgm:cxn modelId="{86D95B34-F008-49B3-9AD2-CE619187A7CC}" type="presParOf" srcId="{D115A618-A5BB-420B-8332-3A3BC9D5EA44}" destId="{7E6DFC3C-6023-4D3D-8FE0-D93CF544DFE4}" srcOrd="15" destOrd="0" presId="urn:microsoft.com/office/officeart/2005/8/layout/hierarchy3"/>
    <dgm:cxn modelId="{BEF1B271-194C-4C02-A3E0-7781662A49D9}" type="presParOf" srcId="{D115A618-A5BB-420B-8332-3A3BC9D5EA44}" destId="{654DA7F3-05B5-4598-8579-293C6E406D58}" srcOrd="16" destOrd="0" presId="urn:microsoft.com/office/officeart/2005/8/layout/hierarchy3"/>
    <dgm:cxn modelId="{D720EAEF-0BD6-4E53-A507-CFC76CEFDE2A}" type="presParOf" srcId="{D115A618-A5BB-420B-8332-3A3BC9D5EA44}" destId="{DD5A8800-B797-4C18-B292-4839548B4865}" srcOrd="17" destOrd="0" presId="urn:microsoft.com/office/officeart/2005/8/layout/hierarchy3"/>
    <dgm:cxn modelId="{14F8345B-D2CF-4972-939C-5CA9A57BC783}" type="presParOf" srcId="{D115A618-A5BB-420B-8332-3A3BC9D5EA44}" destId="{7C7F9464-2275-407A-AB07-D87C6C3E0F84}" srcOrd="18" destOrd="0" presId="urn:microsoft.com/office/officeart/2005/8/layout/hierarchy3"/>
    <dgm:cxn modelId="{E51C7B37-EE2B-4BFC-ADF8-CB927DC7C21D}" type="presParOf" srcId="{D115A618-A5BB-420B-8332-3A3BC9D5EA44}" destId="{7F150017-FBA0-447A-AA20-F255B718A94A}" srcOrd="19" destOrd="0" presId="urn:microsoft.com/office/officeart/2005/8/layout/hierarchy3"/>
    <dgm:cxn modelId="{FC6655ED-470C-4CB9-B00B-9EB96F5C117F}" type="presParOf" srcId="{D115A618-A5BB-420B-8332-3A3BC9D5EA44}" destId="{C0D50507-E9D7-4D9C-BE7E-77BF3047F9F9}" srcOrd="20" destOrd="0" presId="urn:microsoft.com/office/officeart/2005/8/layout/hierarchy3"/>
    <dgm:cxn modelId="{E0832C6A-FBD5-426D-9324-49EBEB8E399A}" type="presParOf" srcId="{D115A618-A5BB-420B-8332-3A3BC9D5EA44}" destId="{8F5CB6EF-9EAB-43B4-99CE-C3B6D6B8BEEB}" srcOrd="21" destOrd="0" presId="urn:microsoft.com/office/officeart/2005/8/layout/hierarchy3"/>
    <dgm:cxn modelId="{5EFF8206-F029-4C66-8309-7107B825BE6F}" type="presParOf" srcId="{D115A618-A5BB-420B-8332-3A3BC9D5EA44}" destId="{016622C3-4351-4371-9380-F77BAA73DA5A}" srcOrd="22" destOrd="0" presId="urn:microsoft.com/office/officeart/2005/8/layout/hierarchy3"/>
    <dgm:cxn modelId="{B172A785-B86E-4BAC-A40A-F4D7F058811E}" type="presParOf" srcId="{D115A618-A5BB-420B-8332-3A3BC9D5EA44}" destId="{DDF65FEB-87D2-4051-99C0-EBB8674A3636}" srcOrd="23" destOrd="0" presId="urn:microsoft.com/office/officeart/2005/8/layout/hierarchy3"/>
    <dgm:cxn modelId="{024F6F43-211C-40F2-B3FE-EEF2693165B7}" type="presParOf" srcId="{D115A618-A5BB-420B-8332-3A3BC9D5EA44}" destId="{BA845E62-3199-41CD-A4AD-C59BD5A8CBF1}" srcOrd="24" destOrd="0" presId="urn:microsoft.com/office/officeart/2005/8/layout/hierarchy3"/>
    <dgm:cxn modelId="{93BE6023-BE62-4E0D-BD0E-5CDA63FD6252}" type="presParOf" srcId="{D115A618-A5BB-420B-8332-3A3BC9D5EA44}" destId="{CAD81D45-AF67-484F-AA1A-03CED993AF1B}" srcOrd="25" destOrd="0" presId="urn:microsoft.com/office/officeart/2005/8/layout/hierarchy3"/>
    <dgm:cxn modelId="{ACE710D0-7547-423D-89AF-0BFE1A8B72A5}" type="presParOf" srcId="{D115A618-A5BB-420B-8332-3A3BC9D5EA44}" destId="{C7960240-0C74-40A4-9876-E58199D12BB8}" srcOrd="26" destOrd="0" presId="urn:microsoft.com/office/officeart/2005/8/layout/hierarchy3"/>
    <dgm:cxn modelId="{33F1309D-B896-4EC1-8BDB-C0F223453161}" type="presParOf" srcId="{D115A618-A5BB-420B-8332-3A3BC9D5EA44}" destId="{769DE76C-B38B-4991-A465-5A505D0C661B}" srcOrd="27" destOrd="0" presId="urn:microsoft.com/office/officeart/2005/8/layout/hierarchy3"/>
    <dgm:cxn modelId="{596571D3-1B9D-4C78-B6CA-7BD7C14CA670}" type="presParOf" srcId="{A163B9D6-AFBD-430C-8AE8-216B1B439C08}" destId="{E68AF134-A776-4C49-B9FA-1FECDF9F2479}" srcOrd="3" destOrd="0" presId="urn:microsoft.com/office/officeart/2005/8/layout/hierarchy3"/>
    <dgm:cxn modelId="{B1ADB4EF-15B9-43EC-AE27-205A523DAC01}" type="presParOf" srcId="{E68AF134-A776-4C49-B9FA-1FECDF9F2479}" destId="{0D068019-6432-41F3-9323-2D48408084C4}" srcOrd="0" destOrd="0" presId="urn:microsoft.com/office/officeart/2005/8/layout/hierarchy3"/>
    <dgm:cxn modelId="{CB92C8BB-35D3-44A6-91B3-F2934D64DF51}" type="presParOf" srcId="{0D068019-6432-41F3-9323-2D48408084C4}" destId="{7CF3DD82-E10F-4078-841C-A493C18D0A61}" srcOrd="0" destOrd="0" presId="urn:microsoft.com/office/officeart/2005/8/layout/hierarchy3"/>
    <dgm:cxn modelId="{763811BB-D993-431A-9175-ADD86A65D5FA}" type="presParOf" srcId="{0D068019-6432-41F3-9323-2D48408084C4}" destId="{DF0BA6D1-F624-434D-8219-4060E70E1AD3}" srcOrd="1" destOrd="0" presId="urn:microsoft.com/office/officeart/2005/8/layout/hierarchy3"/>
    <dgm:cxn modelId="{ACDA623B-F609-4F8D-BC08-A0A9E437DEDA}" type="presParOf" srcId="{E68AF134-A776-4C49-B9FA-1FECDF9F2479}" destId="{92907D9A-6B32-47FE-8C69-2AC9E335DA1C}" srcOrd="1" destOrd="0" presId="urn:microsoft.com/office/officeart/2005/8/layout/hierarchy3"/>
    <dgm:cxn modelId="{68FAF0BD-930C-4B01-B35E-6899542B2BA3}" type="presParOf" srcId="{92907D9A-6B32-47FE-8C69-2AC9E335DA1C}" destId="{24FB598C-FE75-47E2-9080-B20266135AAC}" srcOrd="0" destOrd="0" presId="urn:microsoft.com/office/officeart/2005/8/layout/hierarchy3"/>
    <dgm:cxn modelId="{9DA6DDBF-47D4-4313-9212-6F1C733484C6}" type="presParOf" srcId="{92907D9A-6B32-47FE-8C69-2AC9E335DA1C}" destId="{4E87BE90-57C4-4B95-9A6A-D0D18C17A5C0}" srcOrd="1" destOrd="0" presId="urn:microsoft.com/office/officeart/2005/8/layout/hierarchy3"/>
    <dgm:cxn modelId="{72F59783-58E6-43B4-813D-BF70B88D5E2D}" type="presParOf" srcId="{92907D9A-6B32-47FE-8C69-2AC9E335DA1C}" destId="{E109A364-A418-4313-AE08-31AD8F293BF3}" srcOrd="2" destOrd="0" presId="urn:microsoft.com/office/officeart/2005/8/layout/hierarchy3"/>
    <dgm:cxn modelId="{165054AA-14FA-42D2-9DC5-C99CFEF7A710}" type="presParOf" srcId="{92907D9A-6B32-47FE-8C69-2AC9E335DA1C}" destId="{BEF96FF5-4A46-4857-9CD8-51A7CB67F568}" srcOrd="3" destOrd="0" presId="urn:microsoft.com/office/officeart/2005/8/layout/hierarchy3"/>
    <dgm:cxn modelId="{1CB36E50-75A2-4EA1-9AB4-A8A900AAE8BA}" type="presParOf" srcId="{92907D9A-6B32-47FE-8C69-2AC9E335DA1C}" destId="{62903D58-6975-4A67-ACDA-F28C96EA78F9}" srcOrd="4" destOrd="0" presId="urn:microsoft.com/office/officeart/2005/8/layout/hierarchy3"/>
    <dgm:cxn modelId="{F90067EF-AD72-4B2D-BDCD-5A98CE5B3954}" type="presParOf" srcId="{92907D9A-6B32-47FE-8C69-2AC9E335DA1C}" destId="{53F12F2A-B697-4C42-978F-CA1490511D2A}" srcOrd="5" destOrd="0" presId="urn:microsoft.com/office/officeart/2005/8/layout/hierarchy3"/>
    <dgm:cxn modelId="{A95F3EF4-7024-4BD0-8450-04A90107A90B}" type="presParOf" srcId="{92907D9A-6B32-47FE-8C69-2AC9E335DA1C}" destId="{D85039B8-B31B-4850-836D-DB3D6CEE9DCA}" srcOrd="6" destOrd="0" presId="urn:microsoft.com/office/officeart/2005/8/layout/hierarchy3"/>
    <dgm:cxn modelId="{9ABB819C-2208-4179-8AC8-3E4C1BAB719E}" type="presParOf" srcId="{92907D9A-6B32-47FE-8C69-2AC9E335DA1C}" destId="{AE8B97A8-8B81-4EA3-BC62-E0D451FC7550}" srcOrd="7" destOrd="0" presId="urn:microsoft.com/office/officeart/2005/8/layout/hierarchy3"/>
    <dgm:cxn modelId="{B9D8BC2D-39E2-4F47-ABC2-8F01553B3A74}" type="presParOf" srcId="{92907D9A-6B32-47FE-8C69-2AC9E335DA1C}" destId="{63C6136D-32CE-453B-8D9A-0B0FF5E7A0E8}" srcOrd="8" destOrd="0" presId="urn:microsoft.com/office/officeart/2005/8/layout/hierarchy3"/>
    <dgm:cxn modelId="{71676885-075B-4A9E-BF3E-DA452A44B575}" type="presParOf" srcId="{92907D9A-6B32-47FE-8C69-2AC9E335DA1C}" destId="{546EA778-6715-440A-8E54-E3BD2A78F2A7}" srcOrd="9" destOrd="0" presId="urn:microsoft.com/office/officeart/2005/8/layout/hierarchy3"/>
    <dgm:cxn modelId="{7754466D-4EDA-461C-85E3-CBED1BCA2784}" type="presParOf" srcId="{92907D9A-6B32-47FE-8C69-2AC9E335DA1C}" destId="{05B78D8C-48BD-40FD-A9D3-37432A593FF5}" srcOrd="10" destOrd="0" presId="urn:microsoft.com/office/officeart/2005/8/layout/hierarchy3"/>
    <dgm:cxn modelId="{00B06B8B-4852-4072-B87F-0B5C3A9100B4}" type="presParOf" srcId="{92907D9A-6B32-47FE-8C69-2AC9E335DA1C}" destId="{434CEC59-6DA2-4AF8-AD83-7CC7E985F817}" srcOrd="11" destOrd="0" presId="urn:microsoft.com/office/officeart/2005/8/layout/hierarchy3"/>
    <dgm:cxn modelId="{98CB183F-E4D7-4E56-8F7A-834D7FA5727C}" type="presParOf" srcId="{A163B9D6-AFBD-430C-8AE8-216B1B439C08}" destId="{0F3A94BE-BF2E-4959-8822-A3D2062940F5}" srcOrd="4" destOrd="0" presId="urn:microsoft.com/office/officeart/2005/8/layout/hierarchy3"/>
    <dgm:cxn modelId="{EA4DFF9B-276F-4DAF-96D1-0CB233750848}" type="presParOf" srcId="{0F3A94BE-BF2E-4959-8822-A3D2062940F5}" destId="{9706C124-E493-4CDC-95BB-D4EC787FAB59}" srcOrd="0" destOrd="0" presId="urn:microsoft.com/office/officeart/2005/8/layout/hierarchy3"/>
    <dgm:cxn modelId="{6325A59A-2A10-4F8A-8617-6375526374F2}" type="presParOf" srcId="{9706C124-E493-4CDC-95BB-D4EC787FAB59}" destId="{BC36AE6A-9584-499F-BA0A-E5E027F3B4CA}" srcOrd="0" destOrd="0" presId="urn:microsoft.com/office/officeart/2005/8/layout/hierarchy3"/>
    <dgm:cxn modelId="{B591CD43-077D-4009-8DC0-2FEF84519C9E}" type="presParOf" srcId="{9706C124-E493-4CDC-95BB-D4EC787FAB59}" destId="{090A5FD3-0CA1-4924-A877-583CF5DE4180}" srcOrd="1" destOrd="0" presId="urn:microsoft.com/office/officeart/2005/8/layout/hierarchy3"/>
    <dgm:cxn modelId="{F6C4506A-5142-4CE5-BD9A-D47C6CC4C2E2}" type="presParOf" srcId="{0F3A94BE-BF2E-4959-8822-A3D2062940F5}" destId="{E5C254B7-9D97-439B-A556-C39A9CA56D92}" srcOrd="1" destOrd="0" presId="urn:microsoft.com/office/officeart/2005/8/layout/hierarchy3"/>
    <dgm:cxn modelId="{A1E7F5FF-39E5-4484-9390-9F0512B26D98}" type="presParOf" srcId="{E5C254B7-9D97-439B-A556-C39A9CA56D92}" destId="{FA5F7AE3-3CD0-4E9A-BD19-F1E49FAD3224}" srcOrd="0" destOrd="0" presId="urn:microsoft.com/office/officeart/2005/8/layout/hierarchy3"/>
    <dgm:cxn modelId="{016B956E-B0AE-4AC2-AF61-F0DD43794155}" type="presParOf" srcId="{E5C254B7-9D97-439B-A556-C39A9CA56D92}" destId="{C1E80ACA-067E-4EAA-8766-14E953F9B13A}" srcOrd="1" destOrd="0" presId="urn:microsoft.com/office/officeart/2005/8/layout/hierarchy3"/>
    <dgm:cxn modelId="{314D5950-7253-4134-9632-8F7C5353D635}" type="presParOf" srcId="{E5C254B7-9D97-439B-A556-C39A9CA56D92}" destId="{3160BBE6-635A-40F4-A25E-238D0DA9FCFF}" srcOrd="2" destOrd="0" presId="urn:microsoft.com/office/officeart/2005/8/layout/hierarchy3"/>
    <dgm:cxn modelId="{FAC24758-0B78-4298-BD40-6BAE46F4E252}" type="presParOf" srcId="{E5C254B7-9D97-439B-A556-C39A9CA56D92}" destId="{7A588C5D-2329-46FE-B952-0915FA1490D1}" srcOrd="3" destOrd="0" presId="urn:microsoft.com/office/officeart/2005/8/layout/hierarchy3"/>
    <dgm:cxn modelId="{86C3746E-A205-4694-B805-D5FF9AAE470D}" type="presParOf" srcId="{E5C254B7-9D97-439B-A556-C39A9CA56D92}" destId="{2006B869-75E1-4FC4-8B42-35EEC6AE382E}" srcOrd="4" destOrd="0" presId="urn:microsoft.com/office/officeart/2005/8/layout/hierarchy3"/>
    <dgm:cxn modelId="{2B98B88E-5C56-4787-BC74-B34DDB9C6068}" type="presParOf" srcId="{E5C254B7-9D97-439B-A556-C39A9CA56D92}" destId="{27C7CA61-F3E7-4B8C-A95D-FDB9015BA132}" srcOrd="5" destOrd="0" presId="urn:microsoft.com/office/officeart/2005/8/layout/hierarchy3"/>
    <dgm:cxn modelId="{147ED3A6-9E30-4864-8423-8B00AEB95FCE}" type="presParOf" srcId="{E5C254B7-9D97-439B-A556-C39A9CA56D92}" destId="{55968FC7-E271-4ED5-B66A-AFFC0947B2F2}" srcOrd="6" destOrd="0" presId="urn:microsoft.com/office/officeart/2005/8/layout/hierarchy3"/>
    <dgm:cxn modelId="{FDAABEDA-5B72-4007-BA12-463E102136F3}" type="presParOf" srcId="{E5C254B7-9D97-439B-A556-C39A9CA56D92}" destId="{F26E0EE5-E401-4AA3-9AF6-08682306FD0F}" srcOrd="7" destOrd="0" presId="urn:microsoft.com/office/officeart/2005/8/layout/hierarchy3"/>
    <dgm:cxn modelId="{04FB7610-5D2F-49E9-905F-4A509F2F0C5A}" type="presParOf" srcId="{A163B9D6-AFBD-430C-8AE8-216B1B439C08}" destId="{C84CF7C8-9662-43DF-9E02-B33B9FC82362}" srcOrd="5" destOrd="0" presId="urn:microsoft.com/office/officeart/2005/8/layout/hierarchy3"/>
    <dgm:cxn modelId="{10955A95-3823-43E5-830F-518B5E6890D0}" type="presParOf" srcId="{C84CF7C8-9662-43DF-9E02-B33B9FC82362}" destId="{5A266F06-F8B6-4710-B8A1-79B5F3AEBEFA}" srcOrd="0" destOrd="0" presId="urn:microsoft.com/office/officeart/2005/8/layout/hierarchy3"/>
    <dgm:cxn modelId="{69AC3CA9-9F9C-4ECF-ADFE-425998150056}" type="presParOf" srcId="{5A266F06-F8B6-4710-B8A1-79B5F3AEBEFA}" destId="{673369D6-198F-4A22-A811-358ABF498ADF}" srcOrd="0" destOrd="0" presId="urn:microsoft.com/office/officeart/2005/8/layout/hierarchy3"/>
    <dgm:cxn modelId="{28D0DE45-7D3B-41B6-A745-2239FE0C1268}" type="presParOf" srcId="{5A266F06-F8B6-4710-B8A1-79B5F3AEBEFA}" destId="{52167F90-FC8E-4E93-B29A-1D496CBE3D12}" srcOrd="1" destOrd="0" presId="urn:microsoft.com/office/officeart/2005/8/layout/hierarchy3"/>
    <dgm:cxn modelId="{6B6E30CD-6357-4778-BA7B-4D5B58FA99CB}" type="presParOf" srcId="{C84CF7C8-9662-43DF-9E02-B33B9FC82362}" destId="{832A1AF4-A796-41C1-A5F4-63722CD87A0A}" srcOrd="1" destOrd="0" presId="urn:microsoft.com/office/officeart/2005/8/layout/hierarchy3"/>
    <dgm:cxn modelId="{EF775260-DCD4-49D6-9734-032EF619FB61}" type="presParOf" srcId="{832A1AF4-A796-41C1-A5F4-63722CD87A0A}" destId="{23969B88-C105-460C-A724-C4A1C495C633}" srcOrd="0" destOrd="0" presId="urn:microsoft.com/office/officeart/2005/8/layout/hierarchy3"/>
    <dgm:cxn modelId="{B6393F3D-8AA6-450F-9683-5D2837B651A2}" type="presParOf" srcId="{832A1AF4-A796-41C1-A5F4-63722CD87A0A}" destId="{53664FCE-947A-44F1-AB54-4BF777121289}" srcOrd="1" destOrd="0" presId="urn:microsoft.com/office/officeart/2005/8/layout/hierarchy3"/>
    <dgm:cxn modelId="{2FF23458-7D56-40FA-B9CB-63B8DF5BD01D}" type="presParOf" srcId="{832A1AF4-A796-41C1-A5F4-63722CD87A0A}" destId="{F61945FD-D963-4776-BC21-674B3C797F56}" srcOrd="2" destOrd="0" presId="urn:microsoft.com/office/officeart/2005/8/layout/hierarchy3"/>
    <dgm:cxn modelId="{52D30C57-A0A9-4A47-985F-9BECA3611C8A}" type="presParOf" srcId="{832A1AF4-A796-41C1-A5F4-63722CD87A0A}" destId="{1EFC97A4-870D-40C3-A400-EF389209510E}" srcOrd="3" destOrd="0" presId="urn:microsoft.com/office/officeart/2005/8/layout/hierarchy3"/>
    <dgm:cxn modelId="{DD029964-3BED-4FF2-8720-05EDF697F3B2}" type="presParOf" srcId="{832A1AF4-A796-41C1-A5F4-63722CD87A0A}" destId="{BAB60AE2-7D35-4F33-B16C-ED02378F2F13}" srcOrd="4" destOrd="0" presId="urn:microsoft.com/office/officeart/2005/8/layout/hierarchy3"/>
    <dgm:cxn modelId="{09E5F921-71AF-42B1-B503-8063D8EF3AD2}" type="presParOf" srcId="{832A1AF4-A796-41C1-A5F4-63722CD87A0A}" destId="{92FA3EDD-169F-41FF-B68C-28903C557486}" srcOrd="5" destOrd="0" presId="urn:microsoft.com/office/officeart/2005/8/layout/hierarchy3"/>
    <dgm:cxn modelId="{6084115F-C8A3-4B0E-839F-F9E461296B6C}" type="presParOf" srcId="{832A1AF4-A796-41C1-A5F4-63722CD87A0A}" destId="{D9185D0D-F0AF-49A7-A26F-148EF0E656DB}" srcOrd="6" destOrd="0" presId="urn:microsoft.com/office/officeart/2005/8/layout/hierarchy3"/>
    <dgm:cxn modelId="{1B850E12-4F34-490C-B5AB-9177214B676F}" type="presParOf" srcId="{832A1AF4-A796-41C1-A5F4-63722CD87A0A}" destId="{7377C566-E4C8-4A18-A411-C340B94739AE}" srcOrd="7" destOrd="0" presId="urn:microsoft.com/office/officeart/2005/8/layout/hierarchy3"/>
    <dgm:cxn modelId="{F41DDDFC-03C4-4AFF-95C5-5C710D1F1357}" type="presParOf" srcId="{A163B9D6-AFBD-430C-8AE8-216B1B439C08}" destId="{F3088BB0-5DE2-48A8-8626-53959A7D8483}" srcOrd="6" destOrd="0" presId="urn:microsoft.com/office/officeart/2005/8/layout/hierarchy3"/>
    <dgm:cxn modelId="{55141EDD-3C13-440A-82C4-EDEC8772C880}" type="presParOf" srcId="{F3088BB0-5DE2-48A8-8626-53959A7D8483}" destId="{7085E8FA-43CA-4511-ACC1-8805DF861CC6}" srcOrd="0" destOrd="0" presId="urn:microsoft.com/office/officeart/2005/8/layout/hierarchy3"/>
    <dgm:cxn modelId="{447A3FCB-B6E8-4663-8851-3E34EC837744}" type="presParOf" srcId="{7085E8FA-43CA-4511-ACC1-8805DF861CC6}" destId="{65CCE5B0-023C-43A0-A0C9-4B359974C012}" srcOrd="0" destOrd="0" presId="urn:microsoft.com/office/officeart/2005/8/layout/hierarchy3"/>
    <dgm:cxn modelId="{890D447D-325A-4A49-AC19-204566392C87}" type="presParOf" srcId="{7085E8FA-43CA-4511-ACC1-8805DF861CC6}" destId="{6F6A9296-0E37-483E-809D-A73BB90E598C}" srcOrd="1" destOrd="0" presId="urn:microsoft.com/office/officeart/2005/8/layout/hierarchy3"/>
    <dgm:cxn modelId="{3A1840F4-FE39-46CB-81D6-F693B0326A07}" type="presParOf" srcId="{F3088BB0-5DE2-48A8-8626-53959A7D8483}" destId="{02979AA2-06DD-4926-A300-31B9624105D8}" srcOrd="1" destOrd="0" presId="urn:microsoft.com/office/officeart/2005/8/layout/hierarchy3"/>
    <dgm:cxn modelId="{E2F59048-EA38-4048-B2E7-7F15587EDBF9}" type="presParOf" srcId="{02979AA2-06DD-4926-A300-31B9624105D8}" destId="{0A0F31C1-83B7-4AF5-9D6F-62C831E28FEA}" srcOrd="0" destOrd="0" presId="urn:microsoft.com/office/officeart/2005/8/layout/hierarchy3"/>
    <dgm:cxn modelId="{E693BEEC-791B-43A5-AF64-EDF1F39BE740}" type="presParOf" srcId="{02979AA2-06DD-4926-A300-31B9624105D8}" destId="{CC0D2771-EFE1-4AA7-813D-34E5F549194E}" srcOrd="1" destOrd="0" presId="urn:microsoft.com/office/officeart/2005/8/layout/hierarchy3"/>
    <dgm:cxn modelId="{BBE5E99A-0A56-4A1D-ABAC-89544A834E26}" type="presParOf" srcId="{A163B9D6-AFBD-430C-8AE8-216B1B439C08}" destId="{99FFEE74-B8D4-4640-8080-9ED527923267}" srcOrd="7" destOrd="0" presId="urn:microsoft.com/office/officeart/2005/8/layout/hierarchy3"/>
    <dgm:cxn modelId="{33DE2DF9-25DB-40D2-9A28-DC08AC6D0DC4}" type="presParOf" srcId="{99FFEE74-B8D4-4640-8080-9ED527923267}" destId="{00D6BFB1-0A1E-4677-B657-75FD198B4A53}" srcOrd="0" destOrd="0" presId="urn:microsoft.com/office/officeart/2005/8/layout/hierarchy3"/>
    <dgm:cxn modelId="{2956C8D4-C0A6-41E0-88E2-14B5B91C9B8D}" type="presParOf" srcId="{00D6BFB1-0A1E-4677-B657-75FD198B4A53}" destId="{181615D8-AEAA-4D5C-8EF6-2E6B273E476B}" srcOrd="0" destOrd="0" presId="urn:microsoft.com/office/officeart/2005/8/layout/hierarchy3"/>
    <dgm:cxn modelId="{087D435D-6E54-42FC-A1EC-4E75BF55AEA4}" type="presParOf" srcId="{00D6BFB1-0A1E-4677-B657-75FD198B4A53}" destId="{5769084D-21CB-46C1-A426-D8F175682581}" srcOrd="1" destOrd="0" presId="urn:microsoft.com/office/officeart/2005/8/layout/hierarchy3"/>
    <dgm:cxn modelId="{F6EC37E0-C994-4536-8F73-FAD68EC360BC}" type="presParOf" srcId="{99FFEE74-B8D4-4640-8080-9ED527923267}" destId="{72EC2689-3556-44AE-9424-C89AFEBFFB3C}" srcOrd="1" destOrd="0" presId="urn:microsoft.com/office/officeart/2005/8/layout/hierarchy3"/>
    <dgm:cxn modelId="{AA0DEBC7-B2C6-42EC-874E-AC098DA8E16E}" type="presParOf" srcId="{72EC2689-3556-44AE-9424-C89AFEBFFB3C}" destId="{04760F33-E930-4B33-99AA-393917C17530}" srcOrd="0" destOrd="0" presId="urn:microsoft.com/office/officeart/2005/8/layout/hierarchy3"/>
    <dgm:cxn modelId="{7F1DF54F-A152-490D-B16F-CA8FDD796B3F}" type="presParOf" srcId="{72EC2689-3556-44AE-9424-C89AFEBFFB3C}" destId="{CA0A953C-CA51-4C9D-BB2F-7FA298780041}" srcOrd="1" destOrd="0" presId="urn:microsoft.com/office/officeart/2005/8/layout/hierarchy3"/>
    <dgm:cxn modelId="{9A7A212A-F543-4DF2-9826-19147AE41DF4}" type="presParOf" srcId="{72EC2689-3556-44AE-9424-C89AFEBFFB3C}" destId="{BF46BA09-472E-4192-9093-A2DF92FDC760}" srcOrd="2" destOrd="0" presId="urn:microsoft.com/office/officeart/2005/8/layout/hierarchy3"/>
    <dgm:cxn modelId="{677FD194-2300-4B2D-9099-4FC4D3C11ED7}" type="presParOf" srcId="{72EC2689-3556-44AE-9424-C89AFEBFFB3C}" destId="{7A481514-06CE-4341-B721-DBAA08B680AF}" srcOrd="3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FC0E08CC-7A84-4FA7-939A-4F489E8F25DB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CBC30AC1-5119-4669-A78F-466CC246DC71}">
      <dgm:prSet/>
      <dgm:spPr/>
      <dgm:t>
        <a:bodyPr/>
        <a:lstStyle/>
        <a:p>
          <a:r>
            <a:rPr lang="en-US"/>
            <a:t>Auto		</a:t>
          </a:r>
        </a:p>
      </dgm:t>
    </dgm:pt>
    <dgm:pt modelId="{DC3D7346-F7D7-43F5-BC83-90CB6C5CA045}" type="parTrans" cxnId="{B325F5E4-B5AD-460A-966A-D56A01E560BE}">
      <dgm:prSet/>
      <dgm:spPr/>
      <dgm:t>
        <a:bodyPr/>
        <a:lstStyle/>
        <a:p>
          <a:endParaRPr lang="en-US"/>
        </a:p>
      </dgm:t>
    </dgm:pt>
    <dgm:pt modelId="{AEAA02B6-4DFB-49EE-88C5-55A743BECEA8}" type="sibTrans" cxnId="{B325F5E4-B5AD-460A-966A-D56A01E560BE}">
      <dgm:prSet/>
      <dgm:spPr/>
      <dgm:t>
        <a:bodyPr/>
        <a:lstStyle/>
        <a:p>
          <a:endParaRPr lang="en-US"/>
        </a:p>
      </dgm:t>
    </dgm:pt>
    <dgm:pt modelId="{6C16DE70-0958-457F-A3F1-BB8C9610A7D4}">
      <dgm:prSet/>
      <dgm:spPr>
        <a:ln>
          <a:prstDash val="dash"/>
        </a:ln>
      </dgm:spPr>
      <dgm:t>
        <a:bodyPr/>
        <a:lstStyle/>
        <a:p>
          <a:r>
            <a:rPr lang="en-US"/>
            <a:t>Doddappa, Nagaraja    Specialist, SW Engineer</a:t>
          </a:r>
        </a:p>
      </dgm:t>
    </dgm:pt>
    <dgm:pt modelId="{12A43E46-C762-4E09-BF73-1E959D8779CA}" type="parTrans" cxnId="{0E38C6DD-488C-4298-B10C-BEC86C59CED9}">
      <dgm:prSet/>
      <dgm:spPr/>
      <dgm:t>
        <a:bodyPr/>
        <a:lstStyle/>
        <a:p>
          <a:endParaRPr lang="en-US"/>
        </a:p>
      </dgm:t>
    </dgm:pt>
    <dgm:pt modelId="{8687E6FA-6BC5-4C55-9DC3-8FFBA7559E9D}" type="sibTrans" cxnId="{0E38C6DD-488C-4298-B10C-BEC86C59CED9}">
      <dgm:prSet/>
      <dgm:spPr/>
      <dgm:t>
        <a:bodyPr/>
        <a:lstStyle/>
        <a:p>
          <a:endParaRPr lang="en-US"/>
        </a:p>
      </dgm:t>
    </dgm:pt>
    <dgm:pt modelId="{D54D9019-632A-431A-A736-C7CF12E96EE9}">
      <dgm:prSet/>
      <dgm:spPr/>
      <dgm:t>
        <a:bodyPr/>
        <a:lstStyle/>
        <a:p>
          <a:r>
            <a:rPr lang="en-US"/>
            <a:t>Fodera, Frank    Software Engineer</a:t>
          </a:r>
        </a:p>
      </dgm:t>
    </dgm:pt>
    <dgm:pt modelId="{B6E70952-AC11-4F38-9990-320BF0B28610}" type="parTrans" cxnId="{218B157D-C8BE-4A45-98D2-761AEFCDF61B}">
      <dgm:prSet/>
      <dgm:spPr/>
      <dgm:t>
        <a:bodyPr/>
        <a:lstStyle/>
        <a:p>
          <a:endParaRPr lang="en-US"/>
        </a:p>
      </dgm:t>
    </dgm:pt>
    <dgm:pt modelId="{521A29EB-94EE-4008-AE44-22FE316EBD6D}" type="sibTrans" cxnId="{218B157D-C8BE-4A45-98D2-761AEFCDF61B}">
      <dgm:prSet/>
      <dgm:spPr/>
      <dgm:t>
        <a:bodyPr/>
        <a:lstStyle/>
        <a:p>
          <a:endParaRPr lang="en-US"/>
        </a:p>
      </dgm:t>
    </dgm:pt>
    <dgm:pt modelId="{694D3CA8-DF2F-467E-BF31-4473461ED72F}">
      <dgm:prSet/>
      <dgm:spPr/>
      <dgm:t>
        <a:bodyPr/>
        <a:lstStyle/>
        <a:p>
          <a:r>
            <a:rPr lang="en-US"/>
            <a:t>Hartford, Joe    Specialist, SW Engineer</a:t>
          </a:r>
        </a:p>
      </dgm:t>
    </dgm:pt>
    <dgm:pt modelId="{A23D85E1-68EE-4B07-A0F0-904508AE97CE}" type="parTrans" cxnId="{E8A10A95-8C9A-4138-A2C8-A6F58F7CD0D4}">
      <dgm:prSet/>
      <dgm:spPr/>
      <dgm:t>
        <a:bodyPr/>
        <a:lstStyle/>
        <a:p>
          <a:endParaRPr lang="en-US"/>
        </a:p>
      </dgm:t>
    </dgm:pt>
    <dgm:pt modelId="{40BD1EDF-79FE-4E5D-8EDF-C3C92EAD4F67}" type="sibTrans" cxnId="{E8A10A95-8C9A-4138-A2C8-A6F58F7CD0D4}">
      <dgm:prSet/>
      <dgm:spPr/>
      <dgm:t>
        <a:bodyPr/>
        <a:lstStyle/>
        <a:p>
          <a:endParaRPr lang="en-US"/>
        </a:p>
      </dgm:t>
    </dgm:pt>
    <dgm:pt modelId="{68F4111B-7255-4AB4-832D-7FC6DD955F21}">
      <dgm:prSet/>
      <dgm:spPr/>
      <dgm:t>
        <a:bodyPr/>
        <a:lstStyle/>
        <a:p>
          <a:r>
            <a:rPr lang="en-US"/>
            <a:t>TBH3</a:t>
          </a:r>
        </a:p>
        <a:p>
          <a:r>
            <a:rPr lang="en-US"/>
            <a:t>Software Engineer</a:t>
          </a:r>
        </a:p>
      </dgm:t>
    </dgm:pt>
    <dgm:pt modelId="{1C6D5B49-CC9A-48BE-A928-821BB02A2602}" type="parTrans" cxnId="{C746CA38-257B-46EF-927C-3A015124D798}">
      <dgm:prSet/>
      <dgm:spPr/>
      <dgm:t>
        <a:bodyPr/>
        <a:lstStyle/>
        <a:p>
          <a:endParaRPr lang="en-US"/>
        </a:p>
      </dgm:t>
    </dgm:pt>
    <dgm:pt modelId="{0AF7585C-9AEB-418D-BE8E-2C441BE9042B}" type="sibTrans" cxnId="{C746CA38-257B-46EF-927C-3A015124D798}">
      <dgm:prSet/>
      <dgm:spPr/>
      <dgm:t>
        <a:bodyPr/>
        <a:lstStyle/>
        <a:p>
          <a:endParaRPr lang="en-US"/>
        </a:p>
      </dgm:t>
    </dgm:pt>
    <dgm:pt modelId="{0C8168C1-1BC3-45E3-9957-156291D5E622}">
      <dgm:prSet/>
      <dgm:spPr/>
      <dgm:t>
        <a:bodyPr/>
        <a:lstStyle/>
        <a:p>
          <a:r>
            <a:rPr lang="en-US"/>
            <a:t>TBH4</a:t>
          </a:r>
        </a:p>
        <a:p>
          <a:r>
            <a:rPr lang="en-US"/>
            <a:t>Associate, SW Engineer</a:t>
          </a:r>
        </a:p>
      </dgm:t>
    </dgm:pt>
    <dgm:pt modelId="{92F3429E-84CA-4AA4-92D9-FA316B6E87EE}" type="parTrans" cxnId="{6FA674B7-89C1-47AE-9424-C8C59D6796E2}">
      <dgm:prSet/>
      <dgm:spPr/>
      <dgm:t>
        <a:bodyPr/>
        <a:lstStyle/>
        <a:p>
          <a:endParaRPr lang="en-US"/>
        </a:p>
      </dgm:t>
    </dgm:pt>
    <dgm:pt modelId="{5E77F22C-A938-460A-8BC0-C80741141F15}" type="sibTrans" cxnId="{6FA674B7-89C1-47AE-9424-C8C59D6796E2}">
      <dgm:prSet/>
      <dgm:spPr/>
      <dgm:t>
        <a:bodyPr/>
        <a:lstStyle/>
        <a:p>
          <a:endParaRPr lang="en-US"/>
        </a:p>
      </dgm:t>
    </dgm:pt>
    <dgm:pt modelId="{405682F5-A2CF-4974-839C-22BB4A14E0D9}">
      <dgm:prSet/>
      <dgm:spPr/>
      <dgm:t>
        <a:bodyPr/>
        <a:lstStyle/>
        <a:p>
          <a:r>
            <a:rPr lang="en-US"/>
            <a:t>Jellis, Nathan    Software Engineer</a:t>
          </a:r>
        </a:p>
      </dgm:t>
    </dgm:pt>
    <dgm:pt modelId="{9A134661-A511-423D-BFC5-3BC0F76A8172}" type="parTrans" cxnId="{1212D704-86E3-47FE-BCFB-D8ACF6F21D90}">
      <dgm:prSet/>
      <dgm:spPr/>
      <dgm:t>
        <a:bodyPr/>
        <a:lstStyle/>
        <a:p>
          <a:endParaRPr lang="en-US"/>
        </a:p>
      </dgm:t>
    </dgm:pt>
    <dgm:pt modelId="{2A47710B-F2B8-45F5-BD50-5ABE88C841D2}" type="sibTrans" cxnId="{1212D704-86E3-47FE-BCFB-D8ACF6F21D90}">
      <dgm:prSet/>
      <dgm:spPr/>
      <dgm:t>
        <a:bodyPr/>
        <a:lstStyle/>
        <a:p>
          <a:endParaRPr lang="en-US"/>
        </a:p>
      </dgm:t>
    </dgm:pt>
    <dgm:pt modelId="{9DDB6750-4836-4426-8F88-487E281B4F2A}">
      <dgm:prSet/>
      <dgm:spPr/>
      <dgm:t>
        <a:bodyPr/>
        <a:lstStyle/>
        <a:p>
          <a:r>
            <a:rPr lang="en-US"/>
            <a:t>Characterization		</a:t>
          </a:r>
        </a:p>
      </dgm:t>
    </dgm:pt>
    <dgm:pt modelId="{F0215990-348E-486D-8F9D-D5AA35E37000}" type="parTrans" cxnId="{AC24FDE8-F121-478D-BB70-BAD3890885DA}">
      <dgm:prSet/>
      <dgm:spPr/>
      <dgm:t>
        <a:bodyPr/>
        <a:lstStyle/>
        <a:p>
          <a:endParaRPr lang="en-US"/>
        </a:p>
      </dgm:t>
    </dgm:pt>
    <dgm:pt modelId="{2BF87A36-B69B-4272-B14C-D0B15544A977}" type="sibTrans" cxnId="{AC24FDE8-F121-478D-BB70-BAD3890885DA}">
      <dgm:prSet/>
      <dgm:spPr/>
      <dgm:t>
        <a:bodyPr/>
        <a:lstStyle/>
        <a:p>
          <a:endParaRPr lang="en-US"/>
        </a:p>
      </dgm:t>
    </dgm:pt>
    <dgm:pt modelId="{51E42CD3-3279-43CE-A82F-8A249A6FBF44}">
      <dgm:prSet/>
      <dgm:spPr/>
      <dgm:t>
        <a:bodyPr/>
        <a:lstStyle/>
        <a:p>
          <a:r>
            <a:rPr lang="en-US"/>
            <a:t>Taneja, Nitesh    Specialist, SW Engineer</a:t>
          </a:r>
        </a:p>
      </dgm:t>
    </dgm:pt>
    <dgm:pt modelId="{68CAA5DD-FA49-44B1-A46D-816B45E29E1E}" type="parTrans" cxnId="{7EAD5658-49F0-421C-A415-3795F3035821}">
      <dgm:prSet/>
      <dgm:spPr/>
      <dgm:t>
        <a:bodyPr/>
        <a:lstStyle/>
        <a:p>
          <a:endParaRPr lang="en-US"/>
        </a:p>
      </dgm:t>
    </dgm:pt>
    <dgm:pt modelId="{D9089EB2-55F7-4892-9216-0DFD8186A998}" type="sibTrans" cxnId="{7EAD5658-49F0-421C-A415-3795F3035821}">
      <dgm:prSet/>
      <dgm:spPr/>
      <dgm:t>
        <a:bodyPr/>
        <a:lstStyle/>
        <a:p>
          <a:endParaRPr lang="en-US"/>
        </a:p>
      </dgm:t>
    </dgm:pt>
    <dgm:pt modelId="{D38E2E20-9D09-41F4-A3D4-9E0B083ABEF5}">
      <dgm:prSet/>
      <dgm:spPr/>
      <dgm:t>
        <a:bodyPr/>
        <a:lstStyle/>
        <a:p>
          <a:r>
            <a:rPr lang="en-US"/>
            <a:t>TBH5    Senior, SW Engineer</a:t>
          </a:r>
        </a:p>
      </dgm:t>
    </dgm:pt>
    <dgm:pt modelId="{043B53C1-522D-44A6-BB93-4309CBBB8A18}" type="parTrans" cxnId="{E21AB244-B2F3-46B6-B8D5-B33EBC8349C4}">
      <dgm:prSet/>
      <dgm:spPr/>
      <dgm:t>
        <a:bodyPr/>
        <a:lstStyle/>
        <a:p>
          <a:endParaRPr lang="en-US"/>
        </a:p>
      </dgm:t>
    </dgm:pt>
    <dgm:pt modelId="{DE4D8D9B-5F0B-46FC-9167-4994106E0FCC}" type="sibTrans" cxnId="{E21AB244-B2F3-46B6-B8D5-B33EBC8349C4}">
      <dgm:prSet/>
      <dgm:spPr/>
      <dgm:t>
        <a:bodyPr/>
        <a:lstStyle/>
        <a:p>
          <a:endParaRPr lang="en-US"/>
        </a:p>
      </dgm:t>
    </dgm:pt>
    <dgm:pt modelId="{63909DF1-72DE-4CAC-A741-DD50D66932AA}">
      <dgm:prSet/>
      <dgm:spPr/>
      <dgm:t>
        <a:bodyPr/>
        <a:lstStyle/>
        <a:p>
          <a:r>
            <a:rPr lang="en-US"/>
            <a:t>Dev		</a:t>
          </a:r>
        </a:p>
      </dgm:t>
    </dgm:pt>
    <dgm:pt modelId="{71FF0292-3808-4C1A-8D69-32BB34A16435}" type="parTrans" cxnId="{5E1753FA-3610-4904-B568-3A8616643197}">
      <dgm:prSet/>
      <dgm:spPr/>
      <dgm:t>
        <a:bodyPr/>
        <a:lstStyle/>
        <a:p>
          <a:endParaRPr lang="en-US"/>
        </a:p>
      </dgm:t>
    </dgm:pt>
    <dgm:pt modelId="{89891790-9F5E-4B7A-93DB-3EFEF894A0FE}" type="sibTrans" cxnId="{5E1753FA-3610-4904-B568-3A8616643197}">
      <dgm:prSet/>
      <dgm:spPr/>
      <dgm:t>
        <a:bodyPr/>
        <a:lstStyle/>
        <a:p>
          <a:endParaRPr lang="en-US"/>
        </a:p>
      </dgm:t>
    </dgm:pt>
    <dgm:pt modelId="{F62F648C-E042-494E-8A6C-1341E84C4738}">
      <dgm:prSet/>
      <dgm:spPr/>
      <dgm:t>
        <a:bodyPr/>
        <a:lstStyle/>
        <a:p>
          <a:r>
            <a:rPr lang="en-US"/>
            <a:t>Charubini, David    Senior, SW Engineer</a:t>
          </a:r>
        </a:p>
      </dgm:t>
    </dgm:pt>
    <dgm:pt modelId="{4EBB08B8-BCB1-463F-B508-D0F8FF4F742D}" type="parTrans" cxnId="{AF513950-FE45-4A8C-8261-3EF513D95099}">
      <dgm:prSet/>
      <dgm:spPr/>
      <dgm:t>
        <a:bodyPr/>
        <a:lstStyle/>
        <a:p>
          <a:endParaRPr lang="en-US"/>
        </a:p>
      </dgm:t>
    </dgm:pt>
    <dgm:pt modelId="{588CA33A-F68C-4312-AD6F-57BE502E5082}" type="sibTrans" cxnId="{AF513950-FE45-4A8C-8261-3EF513D95099}">
      <dgm:prSet/>
      <dgm:spPr/>
      <dgm:t>
        <a:bodyPr/>
        <a:lstStyle/>
        <a:p>
          <a:endParaRPr lang="en-US"/>
        </a:p>
      </dgm:t>
    </dgm:pt>
    <dgm:pt modelId="{07D60D36-C8D6-4024-B667-65F558C1FCDC}">
      <dgm:prSet/>
      <dgm:spPr/>
      <dgm:t>
        <a:bodyPr/>
        <a:lstStyle/>
        <a:p>
          <a:r>
            <a:rPr lang="en-US"/>
            <a:t>Gershaneck, Nate    Software Engineer</a:t>
          </a:r>
        </a:p>
      </dgm:t>
    </dgm:pt>
    <dgm:pt modelId="{D4542875-4A66-4C07-AC61-C9F43336C3E9}" type="parTrans" cxnId="{3FAC76F6-DB6B-44DB-8723-0B9396B854E1}">
      <dgm:prSet/>
      <dgm:spPr/>
      <dgm:t>
        <a:bodyPr/>
        <a:lstStyle/>
        <a:p>
          <a:endParaRPr lang="en-US"/>
        </a:p>
      </dgm:t>
    </dgm:pt>
    <dgm:pt modelId="{A4E4F18D-EA16-4713-9C6A-D38A6ED0F02E}" type="sibTrans" cxnId="{3FAC76F6-DB6B-44DB-8723-0B9396B854E1}">
      <dgm:prSet/>
      <dgm:spPr/>
      <dgm:t>
        <a:bodyPr/>
        <a:lstStyle/>
        <a:p>
          <a:endParaRPr lang="en-US"/>
        </a:p>
      </dgm:t>
    </dgm:pt>
    <dgm:pt modelId="{9A80B4E2-78E6-4681-9869-DFDE5DDA3658}">
      <dgm:prSet/>
      <dgm:spPr/>
      <dgm:t>
        <a:bodyPr/>
        <a:lstStyle/>
        <a:p>
          <a:r>
            <a:rPr lang="en-US"/>
            <a:t>Haapaoja, Steve    Senior, SW Engineer</a:t>
          </a:r>
        </a:p>
      </dgm:t>
    </dgm:pt>
    <dgm:pt modelId="{4F9065C7-51A6-4E03-95BF-C4B733A5D43C}" type="parTrans" cxnId="{38D38D1D-752C-430F-979C-C14FE340ABDE}">
      <dgm:prSet/>
      <dgm:spPr/>
      <dgm:t>
        <a:bodyPr/>
        <a:lstStyle/>
        <a:p>
          <a:endParaRPr lang="en-US"/>
        </a:p>
      </dgm:t>
    </dgm:pt>
    <dgm:pt modelId="{8522EA56-6070-494F-9E2C-99C6ED975F6F}" type="sibTrans" cxnId="{38D38D1D-752C-430F-979C-C14FE340ABDE}">
      <dgm:prSet/>
      <dgm:spPr/>
      <dgm:t>
        <a:bodyPr/>
        <a:lstStyle/>
        <a:p>
          <a:endParaRPr lang="en-US"/>
        </a:p>
      </dgm:t>
    </dgm:pt>
    <dgm:pt modelId="{8041A5CC-0570-465A-8FD4-6DF6CF1C7A90}">
      <dgm:prSet/>
      <dgm:spPr/>
      <dgm:t>
        <a:bodyPr/>
        <a:lstStyle/>
        <a:p>
          <a:r>
            <a:rPr lang="en-US"/>
            <a:t>Kats, Yury    Specialist, SW Engineer</a:t>
          </a:r>
        </a:p>
      </dgm:t>
    </dgm:pt>
    <dgm:pt modelId="{964C6ACA-0F37-4052-85A3-DCF04DE65438}" type="parTrans" cxnId="{416F8A7D-F8BC-4B05-85C0-45D77CEA2DBC}">
      <dgm:prSet/>
      <dgm:spPr/>
      <dgm:t>
        <a:bodyPr/>
        <a:lstStyle/>
        <a:p>
          <a:endParaRPr lang="en-US"/>
        </a:p>
      </dgm:t>
    </dgm:pt>
    <dgm:pt modelId="{AD10002D-8B29-4EA0-8E65-9B9174B47ED0}" type="sibTrans" cxnId="{416F8A7D-F8BC-4B05-85C0-45D77CEA2DBC}">
      <dgm:prSet/>
      <dgm:spPr/>
      <dgm:t>
        <a:bodyPr/>
        <a:lstStyle/>
        <a:p>
          <a:endParaRPr lang="en-US"/>
        </a:p>
      </dgm:t>
    </dgm:pt>
    <dgm:pt modelId="{2886D5B9-9CB3-4B43-B59E-80C35AB953B6}">
      <dgm:prSet/>
      <dgm:spPr/>
      <dgm:t>
        <a:bodyPr/>
        <a:lstStyle/>
        <a:p>
          <a:r>
            <a:rPr lang="en-US"/>
            <a:t>Manjanatha, Sowmya    Specialist, SW Engineer</a:t>
          </a:r>
        </a:p>
      </dgm:t>
    </dgm:pt>
    <dgm:pt modelId="{EF0A6EF6-E6E6-4BA3-992B-35251C04D80C}" type="parTrans" cxnId="{42338F15-E5EE-49AC-928B-42C725ECAD21}">
      <dgm:prSet/>
      <dgm:spPr/>
      <dgm:t>
        <a:bodyPr/>
        <a:lstStyle/>
        <a:p>
          <a:endParaRPr lang="en-US"/>
        </a:p>
      </dgm:t>
    </dgm:pt>
    <dgm:pt modelId="{752C94DE-29B0-49CE-BF8A-05A326FFC041}" type="sibTrans" cxnId="{42338F15-E5EE-49AC-928B-42C725ECAD21}">
      <dgm:prSet/>
      <dgm:spPr/>
      <dgm:t>
        <a:bodyPr/>
        <a:lstStyle/>
        <a:p>
          <a:endParaRPr lang="en-US"/>
        </a:p>
      </dgm:t>
    </dgm:pt>
    <dgm:pt modelId="{E3A2994E-7EAD-4244-B110-A391E3A64F93}">
      <dgm:prSet/>
      <dgm:spPr/>
      <dgm:t>
        <a:bodyPr/>
        <a:lstStyle/>
        <a:p>
          <a:r>
            <a:rPr lang="en-US"/>
            <a:t>Shea, Jerry    Specialist, SW Engineer</a:t>
          </a:r>
        </a:p>
      </dgm:t>
    </dgm:pt>
    <dgm:pt modelId="{398B32B1-B516-480B-99A3-F444BA8C0413}" type="parTrans" cxnId="{5E4FDDEC-5FEC-4056-BA74-BAFB95269E58}">
      <dgm:prSet/>
      <dgm:spPr/>
      <dgm:t>
        <a:bodyPr/>
        <a:lstStyle/>
        <a:p>
          <a:endParaRPr lang="en-US"/>
        </a:p>
      </dgm:t>
    </dgm:pt>
    <dgm:pt modelId="{F9B4031A-4580-41D5-8395-0C07E876FDF1}" type="sibTrans" cxnId="{5E4FDDEC-5FEC-4056-BA74-BAFB95269E58}">
      <dgm:prSet/>
      <dgm:spPr/>
      <dgm:t>
        <a:bodyPr/>
        <a:lstStyle/>
        <a:p>
          <a:endParaRPr lang="en-US"/>
        </a:p>
      </dgm:t>
    </dgm:pt>
    <dgm:pt modelId="{83311B6B-EDAC-4BFF-83D9-A020BB7241A7}">
      <dgm:prSet/>
      <dgm:spPr/>
      <dgm:t>
        <a:bodyPr/>
        <a:lstStyle/>
        <a:p>
          <a:r>
            <a:rPr lang="en-US"/>
            <a:t>Zolotusky, Vitaly    Master, SW Engineer</a:t>
          </a:r>
        </a:p>
      </dgm:t>
    </dgm:pt>
    <dgm:pt modelId="{16B6CE0F-22D6-48DB-BB7D-96AB7B0C9AF3}" type="parTrans" cxnId="{4EB4D53F-FEF5-401A-9189-D3EE794947B8}">
      <dgm:prSet/>
      <dgm:spPr/>
      <dgm:t>
        <a:bodyPr/>
        <a:lstStyle/>
        <a:p>
          <a:endParaRPr lang="en-US"/>
        </a:p>
      </dgm:t>
    </dgm:pt>
    <dgm:pt modelId="{92996498-ABE1-45C4-AB65-BEF2771A6A19}" type="sibTrans" cxnId="{4EB4D53F-FEF5-401A-9189-D3EE794947B8}">
      <dgm:prSet/>
      <dgm:spPr/>
      <dgm:t>
        <a:bodyPr/>
        <a:lstStyle/>
        <a:p>
          <a:endParaRPr lang="en-US"/>
        </a:p>
      </dgm:t>
    </dgm:pt>
    <dgm:pt modelId="{7097E6C3-1CA9-4BE6-ABA5-381C2FA3E14A}">
      <dgm:prSet/>
      <dgm:spPr/>
      <dgm:t>
        <a:bodyPr/>
        <a:lstStyle/>
        <a:p>
          <a:r>
            <a:rPr lang="en-US"/>
            <a:t>TBH6</a:t>
          </a:r>
        </a:p>
        <a:p>
          <a:r>
            <a:rPr lang="en-US"/>
            <a:t>Specialist, SW Engineer</a:t>
          </a:r>
        </a:p>
      </dgm:t>
    </dgm:pt>
    <dgm:pt modelId="{C1B43A39-BAA5-4977-BCAB-80333E6BBAFB}" type="parTrans" cxnId="{AB74BEA9-7C21-4F10-ADE6-554BD8D8A655}">
      <dgm:prSet/>
      <dgm:spPr/>
      <dgm:t>
        <a:bodyPr/>
        <a:lstStyle/>
        <a:p>
          <a:endParaRPr lang="en-US"/>
        </a:p>
      </dgm:t>
    </dgm:pt>
    <dgm:pt modelId="{02AF030D-0A24-4FE2-9AEC-7A6B4EBD9B95}" type="sibTrans" cxnId="{AB74BEA9-7C21-4F10-ADE6-554BD8D8A655}">
      <dgm:prSet/>
      <dgm:spPr/>
      <dgm:t>
        <a:bodyPr/>
        <a:lstStyle/>
        <a:p>
          <a:endParaRPr lang="en-US"/>
        </a:p>
      </dgm:t>
    </dgm:pt>
    <dgm:pt modelId="{81989AB4-55B4-439D-8AB9-03EF1714D3CE}">
      <dgm:prSet/>
      <dgm:spPr/>
      <dgm:t>
        <a:bodyPr/>
        <a:lstStyle/>
        <a:p>
          <a:r>
            <a:rPr lang="en-US"/>
            <a:t>TBH12</a:t>
          </a:r>
        </a:p>
        <a:p>
          <a:r>
            <a:rPr lang="en-US"/>
            <a:t> Software Engineer</a:t>
          </a:r>
        </a:p>
      </dgm:t>
    </dgm:pt>
    <dgm:pt modelId="{0A8CA9B0-3903-4A59-9027-CC2B09483B9D}" type="parTrans" cxnId="{0260C57B-7DC5-4964-9FD4-7EDF70A50959}">
      <dgm:prSet/>
      <dgm:spPr/>
      <dgm:t>
        <a:bodyPr/>
        <a:lstStyle/>
        <a:p>
          <a:endParaRPr lang="en-US"/>
        </a:p>
      </dgm:t>
    </dgm:pt>
    <dgm:pt modelId="{1C55F1A6-BE14-4B2C-B779-4CB124909F82}" type="sibTrans" cxnId="{0260C57B-7DC5-4964-9FD4-7EDF70A50959}">
      <dgm:prSet/>
      <dgm:spPr/>
      <dgm:t>
        <a:bodyPr/>
        <a:lstStyle/>
        <a:p>
          <a:endParaRPr lang="en-US"/>
        </a:p>
      </dgm:t>
    </dgm:pt>
    <dgm:pt modelId="{184121C5-7604-447E-9E80-FEA8A381872A}">
      <dgm:prSet/>
      <dgm:spPr/>
      <dgm:t>
        <a:bodyPr/>
        <a:lstStyle/>
        <a:p>
          <a:r>
            <a:rPr lang="en-US"/>
            <a:t>Doc		</a:t>
          </a:r>
        </a:p>
      </dgm:t>
    </dgm:pt>
    <dgm:pt modelId="{8B4656C3-E046-48D7-BBC5-93F72C9E7D35}" type="parTrans" cxnId="{5A24239B-9AB8-4735-B8A7-3C218634A3D5}">
      <dgm:prSet/>
      <dgm:spPr/>
      <dgm:t>
        <a:bodyPr/>
        <a:lstStyle/>
        <a:p>
          <a:endParaRPr lang="en-US"/>
        </a:p>
      </dgm:t>
    </dgm:pt>
    <dgm:pt modelId="{DB2A51AF-7ABB-4696-B43E-F763B3633A17}" type="sibTrans" cxnId="{5A24239B-9AB8-4735-B8A7-3C218634A3D5}">
      <dgm:prSet/>
      <dgm:spPr/>
      <dgm:t>
        <a:bodyPr/>
        <a:lstStyle/>
        <a:p>
          <a:endParaRPr lang="en-US"/>
        </a:p>
      </dgm:t>
    </dgm:pt>
    <dgm:pt modelId="{DFE209FB-5164-4F26-9B30-01ECBD99F211}">
      <dgm:prSet/>
      <dgm:spPr>
        <a:ln>
          <a:prstDash val="dash"/>
        </a:ln>
      </dgm:spPr>
      <dgm:t>
        <a:bodyPr/>
        <a:lstStyle/>
        <a:p>
          <a:r>
            <a:rPr lang="en-US"/>
            <a:t>Evelson, Nick    Associate, Techi Writer</a:t>
          </a:r>
        </a:p>
      </dgm:t>
    </dgm:pt>
    <dgm:pt modelId="{675F3938-6851-42C0-8E99-CE708AFF9E9B}" type="parTrans" cxnId="{DA3C9708-281E-4E27-AA0E-91BA3B7E7E5A}">
      <dgm:prSet/>
      <dgm:spPr/>
      <dgm:t>
        <a:bodyPr/>
        <a:lstStyle/>
        <a:p>
          <a:endParaRPr lang="en-US"/>
        </a:p>
      </dgm:t>
    </dgm:pt>
    <dgm:pt modelId="{8A71BDE5-DBC7-47EC-9AC3-07FB734741CD}" type="sibTrans" cxnId="{DA3C9708-281E-4E27-AA0E-91BA3B7E7E5A}">
      <dgm:prSet/>
      <dgm:spPr/>
      <dgm:t>
        <a:bodyPr/>
        <a:lstStyle/>
        <a:p>
          <a:endParaRPr lang="en-US"/>
        </a:p>
      </dgm:t>
    </dgm:pt>
    <dgm:pt modelId="{00EB5E46-E719-486B-B3EC-D8FCA550D413}">
      <dgm:prSet/>
      <dgm:spPr/>
      <dgm:t>
        <a:bodyPr/>
        <a:lstStyle/>
        <a:p>
          <a:r>
            <a:rPr lang="en-US"/>
            <a:t>Lead		</a:t>
          </a:r>
        </a:p>
      </dgm:t>
    </dgm:pt>
    <dgm:pt modelId="{4D89222A-A915-4DE0-8AD6-24BAAA07B4EC}" type="parTrans" cxnId="{D279067F-E6F5-4A9B-AD96-F3617B15F2F5}">
      <dgm:prSet/>
      <dgm:spPr/>
      <dgm:t>
        <a:bodyPr/>
        <a:lstStyle/>
        <a:p>
          <a:endParaRPr lang="en-US"/>
        </a:p>
      </dgm:t>
    </dgm:pt>
    <dgm:pt modelId="{A49B345C-575A-4245-85F5-C824A5A0037E}" type="sibTrans" cxnId="{D279067F-E6F5-4A9B-AD96-F3617B15F2F5}">
      <dgm:prSet/>
      <dgm:spPr/>
      <dgm:t>
        <a:bodyPr/>
        <a:lstStyle/>
        <a:p>
          <a:endParaRPr lang="en-US"/>
        </a:p>
      </dgm:t>
    </dgm:pt>
    <dgm:pt modelId="{AD7A7165-8E7B-4733-B8B5-8FBCCE27088E}">
      <dgm:prSet/>
      <dgm:spPr>
        <a:ln w="31750" cmpd="dbl"/>
      </dgm:spPr>
      <dgm:t>
        <a:bodyPr/>
        <a:lstStyle/>
        <a:p>
          <a:r>
            <a:rPr lang="en-US"/>
            <a:t>Kohli, Nishant    Director, Engineering</a:t>
          </a:r>
        </a:p>
      </dgm:t>
    </dgm:pt>
    <dgm:pt modelId="{722489FF-B0EE-4674-972F-7BA81487BBD1}" type="parTrans" cxnId="{198932E3-AE6A-4FFB-86AE-B1E9A2DA1390}">
      <dgm:prSet/>
      <dgm:spPr/>
      <dgm:t>
        <a:bodyPr/>
        <a:lstStyle/>
        <a:p>
          <a:endParaRPr lang="en-US"/>
        </a:p>
      </dgm:t>
    </dgm:pt>
    <dgm:pt modelId="{E5F076A6-D6F4-465C-97EC-839F67FC3750}" type="sibTrans" cxnId="{198932E3-AE6A-4FFB-86AE-B1E9A2DA1390}">
      <dgm:prSet/>
      <dgm:spPr/>
      <dgm:t>
        <a:bodyPr/>
        <a:lstStyle/>
        <a:p>
          <a:endParaRPr lang="en-US"/>
        </a:p>
      </dgm:t>
    </dgm:pt>
    <dgm:pt modelId="{B6D80DED-73A2-4D64-B2B7-DC6B8613B37E}">
      <dgm:prSet/>
      <dgm:spPr/>
      <dgm:t>
        <a:bodyPr/>
        <a:lstStyle/>
        <a:p>
          <a:r>
            <a:rPr lang="en-US"/>
            <a:t>PO		</a:t>
          </a:r>
        </a:p>
      </dgm:t>
    </dgm:pt>
    <dgm:pt modelId="{5FA39488-ADF7-4DC0-9FE9-A990C0AE2881}" type="parTrans" cxnId="{D7D4845B-C64A-4911-834B-4EB6DD5548D5}">
      <dgm:prSet/>
      <dgm:spPr/>
      <dgm:t>
        <a:bodyPr/>
        <a:lstStyle/>
        <a:p>
          <a:endParaRPr lang="en-US"/>
        </a:p>
      </dgm:t>
    </dgm:pt>
    <dgm:pt modelId="{3ED259CF-A3D1-4093-A677-8548B4DACF0F}" type="sibTrans" cxnId="{D7D4845B-C64A-4911-834B-4EB6DD5548D5}">
      <dgm:prSet/>
      <dgm:spPr/>
      <dgm:t>
        <a:bodyPr/>
        <a:lstStyle/>
        <a:p>
          <a:endParaRPr lang="en-US"/>
        </a:p>
      </dgm:t>
    </dgm:pt>
    <dgm:pt modelId="{E270EB53-921D-48F0-8BCD-BB2B6AFA0AED}">
      <dgm:prSet/>
      <dgm:spPr/>
      <dgm:t>
        <a:bodyPr/>
        <a:lstStyle/>
        <a:p>
          <a:r>
            <a:rPr lang="en-US"/>
            <a:t>Clifford, Ben    Specialist, SW Engineer</a:t>
          </a:r>
        </a:p>
      </dgm:t>
    </dgm:pt>
    <dgm:pt modelId="{A4AB2DFB-7D8B-47F8-8099-2E5C467558DB}" type="parTrans" cxnId="{C78E2EA5-331D-4514-B147-928A91FB8BB6}">
      <dgm:prSet/>
      <dgm:spPr/>
      <dgm:t>
        <a:bodyPr/>
        <a:lstStyle/>
        <a:p>
          <a:endParaRPr lang="en-US"/>
        </a:p>
      </dgm:t>
    </dgm:pt>
    <dgm:pt modelId="{2FA92113-1DEE-417A-97F8-53EC2A1FF5C5}" type="sibTrans" cxnId="{C78E2EA5-331D-4514-B147-928A91FB8BB6}">
      <dgm:prSet/>
      <dgm:spPr/>
      <dgm:t>
        <a:bodyPr/>
        <a:lstStyle/>
        <a:p>
          <a:endParaRPr lang="en-US"/>
        </a:p>
      </dgm:t>
    </dgm:pt>
    <dgm:pt modelId="{D0BFAE95-6C42-47C2-9218-AF88A5154A13}">
      <dgm:prSet/>
      <dgm:spPr>
        <a:ln w="31750" cmpd="dbl"/>
      </dgm:spPr>
      <dgm:t>
        <a:bodyPr/>
        <a:lstStyle/>
        <a:p>
          <a:r>
            <a:rPr lang="en-US"/>
            <a:t>Liang, Candy    Senior Manager, Engineering</a:t>
          </a:r>
        </a:p>
      </dgm:t>
    </dgm:pt>
    <dgm:pt modelId="{DF3495EB-08BA-473F-92BF-BDA7156C0E06}" type="parTrans" cxnId="{68B18259-D905-4983-A0B3-6B69C5DB7ABC}">
      <dgm:prSet/>
      <dgm:spPr/>
      <dgm:t>
        <a:bodyPr/>
        <a:lstStyle/>
        <a:p>
          <a:endParaRPr lang="en-US"/>
        </a:p>
      </dgm:t>
    </dgm:pt>
    <dgm:pt modelId="{916A7EA2-6B34-4C13-BCBC-E5355A6E103D}" type="sibTrans" cxnId="{68B18259-D905-4983-A0B3-6B69C5DB7ABC}">
      <dgm:prSet/>
      <dgm:spPr/>
      <dgm:t>
        <a:bodyPr/>
        <a:lstStyle/>
        <a:p>
          <a:endParaRPr lang="en-US"/>
        </a:p>
      </dgm:t>
    </dgm:pt>
    <dgm:pt modelId="{0A800837-5C0D-46BB-8353-DFDA5D20F78D}">
      <dgm:prSet/>
      <dgm:spPr/>
      <dgm:t>
        <a:bodyPr/>
        <a:lstStyle/>
        <a:p>
          <a:r>
            <a:rPr lang="en-US"/>
            <a:t>TBH23       Specialist, SW Engineer</a:t>
          </a:r>
        </a:p>
      </dgm:t>
    </dgm:pt>
    <dgm:pt modelId="{7BC95BD0-0F61-4D20-85C6-029B4F2B38C2}" type="parTrans" cxnId="{6D4592A0-1EFB-4715-9A0D-756951DE6AF1}">
      <dgm:prSet/>
      <dgm:spPr/>
      <dgm:t>
        <a:bodyPr/>
        <a:lstStyle/>
        <a:p>
          <a:endParaRPr lang="en-US"/>
        </a:p>
      </dgm:t>
    </dgm:pt>
    <dgm:pt modelId="{4BECA5B4-DAE8-4812-90CD-C82407F2825E}" type="sibTrans" cxnId="{6D4592A0-1EFB-4715-9A0D-756951DE6AF1}">
      <dgm:prSet/>
      <dgm:spPr/>
      <dgm:t>
        <a:bodyPr/>
        <a:lstStyle/>
        <a:p>
          <a:endParaRPr lang="en-US"/>
        </a:p>
      </dgm:t>
    </dgm:pt>
    <dgm:pt modelId="{387196D3-379C-43BE-804E-9DCA1909C704}">
      <dgm:prSet/>
      <dgm:spPr/>
      <dgm:t>
        <a:bodyPr/>
        <a:lstStyle/>
        <a:p>
          <a:r>
            <a:rPr lang="en-US"/>
            <a:t>QA		</a:t>
          </a:r>
        </a:p>
      </dgm:t>
    </dgm:pt>
    <dgm:pt modelId="{329A982B-A50D-4679-BD2E-FBF616AD9192}" type="parTrans" cxnId="{B99794D9-2F6E-4DF5-848F-9ACFBDDB5EBC}">
      <dgm:prSet/>
      <dgm:spPr/>
      <dgm:t>
        <a:bodyPr/>
        <a:lstStyle/>
        <a:p>
          <a:endParaRPr lang="en-US"/>
        </a:p>
      </dgm:t>
    </dgm:pt>
    <dgm:pt modelId="{F4E3B671-5048-46E3-8132-72EE168B7238}" type="sibTrans" cxnId="{B99794D9-2F6E-4DF5-848F-9ACFBDDB5EBC}">
      <dgm:prSet/>
      <dgm:spPr/>
      <dgm:t>
        <a:bodyPr/>
        <a:lstStyle/>
        <a:p>
          <a:endParaRPr lang="en-US"/>
        </a:p>
      </dgm:t>
    </dgm:pt>
    <dgm:pt modelId="{C609C46E-BBF4-485F-8F64-A3DBC0420105}">
      <dgm:prSet/>
      <dgm:spPr>
        <a:ln>
          <a:solidFill>
            <a:schemeClr val="accent6">
              <a:lumMod val="75000"/>
            </a:schemeClr>
          </a:solidFill>
          <a:prstDash val="solid"/>
        </a:ln>
      </dgm:spPr>
      <dgm:t>
        <a:bodyPr/>
        <a:lstStyle/>
        <a:p>
          <a:r>
            <a:rPr lang="en-US"/>
            <a:t>Gallerani, Steve    Specialist, SWQA Engineer</a:t>
          </a:r>
        </a:p>
      </dgm:t>
    </dgm:pt>
    <dgm:pt modelId="{D93B6838-D664-4A55-B7B2-5F5E8129342D}" type="parTrans" cxnId="{3F7F0DA8-7AB8-4378-A3FB-52DDFE681FCD}">
      <dgm:prSet/>
      <dgm:spPr/>
      <dgm:t>
        <a:bodyPr/>
        <a:lstStyle/>
        <a:p>
          <a:endParaRPr lang="en-US"/>
        </a:p>
      </dgm:t>
    </dgm:pt>
    <dgm:pt modelId="{BA2FAB08-9E35-4CAA-8D27-526A0F52FC80}" type="sibTrans" cxnId="{3F7F0DA8-7AB8-4378-A3FB-52DDFE681FCD}">
      <dgm:prSet/>
      <dgm:spPr/>
      <dgm:t>
        <a:bodyPr/>
        <a:lstStyle/>
        <a:p>
          <a:endParaRPr lang="en-US"/>
        </a:p>
      </dgm:t>
    </dgm:pt>
    <dgm:pt modelId="{EBADBFB6-B87A-4AB8-BDDA-B030F2740B84}">
      <dgm:prSet/>
      <dgm:spPr/>
      <dgm:t>
        <a:bodyPr/>
        <a:lstStyle/>
        <a:p>
          <a:r>
            <a:rPr lang="en-US"/>
            <a:t>Roberts, William    Specialist, SWQA Engineer</a:t>
          </a:r>
        </a:p>
      </dgm:t>
    </dgm:pt>
    <dgm:pt modelId="{F1940A35-D589-498E-9C8C-4077BE5F8AF1}" type="parTrans" cxnId="{4A6FA777-A1F3-4FDA-9EE2-368F95BB6B1B}">
      <dgm:prSet/>
      <dgm:spPr/>
      <dgm:t>
        <a:bodyPr/>
        <a:lstStyle/>
        <a:p>
          <a:endParaRPr lang="en-US"/>
        </a:p>
      </dgm:t>
    </dgm:pt>
    <dgm:pt modelId="{551FBF7E-F1BA-4EAA-8551-4690BCEFF3A7}" type="sibTrans" cxnId="{4A6FA777-A1F3-4FDA-9EE2-368F95BB6B1B}">
      <dgm:prSet/>
      <dgm:spPr/>
      <dgm:t>
        <a:bodyPr/>
        <a:lstStyle/>
        <a:p>
          <a:endParaRPr lang="en-US"/>
        </a:p>
      </dgm:t>
    </dgm:pt>
    <dgm:pt modelId="{995553E2-3F48-49C9-A2B6-9F32C0D67F29}">
      <dgm:prSet/>
      <dgm:spPr/>
      <dgm:t>
        <a:bodyPr/>
        <a:lstStyle/>
        <a:p>
          <a:r>
            <a:rPr lang="en-US"/>
            <a:t>Wilson, Emily    SWQA Engineer</a:t>
          </a:r>
        </a:p>
      </dgm:t>
    </dgm:pt>
    <dgm:pt modelId="{E2082F57-D81C-4ED8-A4AD-D4EE3F72C077}" type="parTrans" cxnId="{A1C89864-C749-4FA3-B9CA-85C580276F47}">
      <dgm:prSet/>
      <dgm:spPr/>
      <dgm:t>
        <a:bodyPr/>
        <a:lstStyle/>
        <a:p>
          <a:endParaRPr lang="en-US"/>
        </a:p>
      </dgm:t>
    </dgm:pt>
    <dgm:pt modelId="{0EA4E08D-0871-4B4B-9F8F-F95AE51F148C}" type="sibTrans" cxnId="{A1C89864-C749-4FA3-B9CA-85C580276F47}">
      <dgm:prSet/>
      <dgm:spPr/>
      <dgm:t>
        <a:bodyPr/>
        <a:lstStyle/>
        <a:p>
          <a:endParaRPr lang="en-US"/>
        </a:p>
      </dgm:t>
    </dgm:pt>
    <dgm:pt modelId="{50B0FAAA-CD1A-4308-8C93-27C40C72DC4F}">
      <dgm:prSet/>
      <dgm:spPr/>
      <dgm:t>
        <a:bodyPr/>
        <a:lstStyle/>
        <a:p>
          <a:r>
            <a:rPr lang="en-US"/>
            <a:t>Sustaining		</a:t>
          </a:r>
        </a:p>
      </dgm:t>
    </dgm:pt>
    <dgm:pt modelId="{22967286-5093-44E3-B750-CF3730012DEC}" type="parTrans" cxnId="{15320148-9DCA-4D16-A8ED-EA574CF5CB5D}">
      <dgm:prSet/>
      <dgm:spPr/>
      <dgm:t>
        <a:bodyPr/>
        <a:lstStyle/>
        <a:p>
          <a:endParaRPr lang="en-US"/>
        </a:p>
      </dgm:t>
    </dgm:pt>
    <dgm:pt modelId="{79D693B6-92DF-4B0D-9F9C-D3DBF433D16D}" type="sibTrans" cxnId="{15320148-9DCA-4D16-A8ED-EA574CF5CB5D}">
      <dgm:prSet/>
      <dgm:spPr/>
      <dgm:t>
        <a:bodyPr/>
        <a:lstStyle/>
        <a:p>
          <a:endParaRPr lang="en-US"/>
        </a:p>
      </dgm:t>
    </dgm:pt>
    <dgm:pt modelId="{417E7999-DDE0-43BA-92B4-7FCB2DD2C24D}">
      <dgm:prSet/>
      <dgm:spPr/>
      <dgm:t>
        <a:bodyPr/>
        <a:lstStyle/>
        <a:p>
          <a:r>
            <a:rPr lang="en-US"/>
            <a:t>DeRoo, Nick    Software Engineer</a:t>
          </a:r>
        </a:p>
      </dgm:t>
    </dgm:pt>
    <dgm:pt modelId="{CDC05BC0-4FBA-4537-829A-444271FBCFF6}" type="parTrans" cxnId="{CFD6D5AE-B666-4496-BD76-FFBF38B72B3A}">
      <dgm:prSet/>
      <dgm:spPr/>
      <dgm:t>
        <a:bodyPr/>
        <a:lstStyle/>
        <a:p>
          <a:endParaRPr lang="en-US"/>
        </a:p>
      </dgm:t>
    </dgm:pt>
    <dgm:pt modelId="{5B6B0603-2271-4895-8807-043AC4157D75}" type="sibTrans" cxnId="{CFD6D5AE-B666-4496-BD76-FFBF38B72B3A}">
      <dgm:prSet/>
      <dgm:spPr/>
      <dgm:t>
        <a:bodyPr/>
        <a:lstStyle/>
        <a:p>
          <a:endParaRPr lang="en-US"/>
        </a:p>
      </dgm:t>
    </dgm:pt>
    <dgm:pt modelId="{54BB561F-C1AA-4D1B-B8E6-719E0B5B4413}">
      <dgm:prSet/>
      <dgm:spPr>
        <a:ln>
          <a:prstDash val="dash"/>
        </a:ln>
      </dgm:spPr>
      <dgm:t>
        <a:bodyPr/>
        <a:lstStyle/>
        <a:p>
          <a:r>
            <a:rPr lang="en-US"/>
            <a:t>Rivas, Eddie    Associate, SW Engineer</a:t>
          </a:r>
        </a:p>
      </dgm:t>
    </dgm:pt>
    <dgm:pt modelId="{4BA91959-9435-4242-8693-6AF3791300F0}" type="parTrans" cxnId="{20EA764F-5464-4987-A477-A0F00A34F4CD}">
      <dgm:prSet/>
      <dgm:spPr/>
      <dgm:t>
        <a:bodyPr/>
        <a:lstStyle/>
        <a:p>
          <a:endParaRPr lang="en-US"/>
        </a:p>
      </dgm:t>
    </dgm:pt>
    <dgm:pt modelId="{E199ABA7-6458-4776-A9EB-6241A051D6A7}" type="sibTrans" cxnId="{20EA764F-5464-4987-A477-A0F00A34F4CD}">
      <dgm:prSet/>
      <dgm:spPr/>
      <dgm:t>
        <a:bodyPr/>
        <a:lstStyle/>
        <a:p>
          <a:endParaRPr lang="en-US"/>
        </a:p>
      </dgm:t>
    </dgm:pt>
    <dgm:pt modelId="{96A89688-ABA9-47DE-9DA2-2CBC221A4707}">
      <dgm:prSet/>
      <dgm:spPr/>
      <dgm:t>
        <a:bodyPr/>
        <a:lstStyle/>
        <a:p>
          <a:r>
            <a:rPr lang="en-US"/>
            <a:t>Stuart, Logan    Associate, SW Engineer</a:t>
          </a:r>
        </a:p>
      </dgm:t>
    </dgm:pt>
    <dgm:pt modelId="{046A1A90-E574-4546-A4DF-6306932248C8}" type="parTrans" cxnId="{227039E3-56DA-41CE-9F57-A0C79CAF46D1}">
      <dgm:prSet/>
      <dgm:spPr/>
      <dgm:t>
        <a:bodyPr/>
        <a:lstStyle/>
        <a:p>
          <a:endParaRPr lang="en-US"/>
        </a:p>
      </dgm:t>
    </dgm:pt>
    <dgm:pt modelId="{3B5A81AD-DC4D-447E-85AD-756C0E38FFFD}" type="sibTrans" cxnId="{227039E3-56DA-41CE-9F57-A0C79CAF46D1}">
      <dgm:prSet/>
      <dgm:spPr/>
      <dgm:t>
        <a:bodyPr/>
        <a:lstStyle/>
        <a:p>
          <a:endParaRPr lang="en-US"/>
        </a:p>
      </dgm:t>
    </dgm:pt>
    <dgm:pt modelId="{9AD31366-5087-4DFC-8B40-F2B2AB51E8F0}">
      <dgm:prSet/>
      <dgm:spPr/>
      <dgm:t>
        <a:bodyPr/>
        <a:lstStyle/>
        <a:p>
          <a:r>
            <a:rPr lang="en-US"/>
            <a:t>TBH7</a:t>
          </a:r>
        </a:p>
        <a:p>
          <a:r>
            <a:rPr lang="en-US"/>
            <a:t>Software Engineer</a:t>
          </a:r>
        </a:p>
      </dgm:t>
    </dgm:pt>
    <dgm:pt modelId="{12EE336C-CFBF-47C8-8437-D448A5CAEA6D}" type="parTrans" cxnId="{37F0340A-D59E-4C27-BF01-80A98CE121AD}">
      <dgm:prSet/>
      <dgm:spPr/>
      <dgm:t>
        <a:bodyPr/>
        <a:lstStyle/>
        <a:p>
          <a:endParaRPr lang="en-US"/>
        </a:p>
      </dgm:t>
    </dgm:pt>
    <dgm:pt modelId="{4F2C0929-2589-4335-9346-5DCFE9C7C3C5}" type="sibTrans" cxnId="{37F0340A-D59E-4C27-BF01-80A98CE121AD}">
      <dgm:prSet/>
      <dgm:spPr/>
      <dgm:t>
        <a:bodyPr/>
        <a:lstStyle/>
        <a:p>
          <a:endParaRPr lang="en-US"/>
        </a:p>
      </dgm:t>
    </dgm:pt>
    <dgm:pt modelId="{4D06E078-154F-44AE-BE23-D475810FB79D}">
      <dgm:prSet/>
      <dgm:spPr/>
      <dgm:t>
        <a:bodyPr/>
        <a:lstStyle/>
        <a:p>
          <a:r>
            <a:rPr lang="en-US"/>
            <a:t>TBH8 </a:t>
          </a:r>
        </a:p>
        <a:p>
          <a:r>
            <a:rPr lang="en-US"/>
            <a:t>Senior, SW Engineer</a:t>
          </a:r>
        </a:p>
      </dgm:t>
    </dgm:pt>
    <dgm:pt modelId="{7B08E8B9-A7AF-4B1E-BF13-553FA40872B6}" type="parTrans" cxnId="{79F65D42-1437-4093-BFB7-96526094509E}">
      <dgm:prSet/>
      <dgm:spPr/>
      <dgm:t>
        <a:bodyPr/>
        <a:lstStyle/>
        <a:p>
          <a:endParaRPr lang="en-US"/>
        </a:p>
      </dgm:t>
    </dgm:pt>
    <dgm:pt modelId="{0A4A009E-2FD4-48D4-A7E5-332035043C8B}" type="sibTrans" cxnId="{79F65D42-1437-4093-BFB7-96526094509E}">
      <dgm:prSet/>
      <dgm:spPr/>
      <dgm:t>
        <a:bodyPr/>
        <a:lstStyle/>
        <a:p>
          <a:endParaRPr lang="en-US"/>
        </a:p>
      </dgm:t>
    </dgm:pt>
    <dgm:pt modelId="{1FC0E404-8AEE-43AD-926F-5F41FB720A35}">
      <dgm:prSet/>
      <dgm:spPr/>
      <dgm:t>
        <a:bodyPr/>
        <a:lstStyle/>
        <a:p>
          <a:r>
            <a:rPr lang="en-US"/>
            <a:t>UI		</a:t>
          </a:r>
        </a:p>
      </dgm:t>
    </dgm:pt>
    <dgm:pt modelId="{C0EDEAEE-BF0E-45FE-945D-C86B6D692FC0}" type="parTrans" cxnId="{5EB764B1-2C92-46EC-9143-DC6786155669}">
      <dgm:prSet/>
      <dgm:spPr/>
      <dgm:t>
        <a:bodyPr/>
        <a:lstStyle/>
        <a:p>
          <a:endParaRPr lang="en-US"/>
        </a:p>
      </dgm:t>
    </dgm:pt>
    <dgm:pt modelId="{5954FA93-043F-486F-B88F-0F40B7C03246}" type="sibTrans" cxnId="{5EB764B1-2C92-46EC-9143-DC6786155669}">
      <dgm:prSet/>
      <dgm:spPr/>
      <dgm:t>
        <a:bodyPr/>
        <a:lstStyle/>
        <a:p>
          <a:endParaRPr lang="en-US"/>
        </a:p>
      </dgm:t>
    </dgm:pt>
    <dgm:pt modelId="{C1B46E97-8542-45D2-B26E-A109FACB82F3}">
      <dgm:prSet/>
      <dgm:spPr/>
      <dgm:t>
        <a:bodyPr/>
        <a:lstStyle/>
        <a:p>
          <a:r>
            <a:rPr lang="en-US"/>
            <a:t>Wilson, Eric    Senior, SW Engineer</a:t>
          </a:r>
        </a:p>
      </dgm:t>
    </dgm:pt>
    <dgm:pt modelId="{04715AC7-63BC-41CA-99C0-161902D7736D}" type="parTrans" cxnId="{B873324C-97A4-4DE4-951E-74AC17DAC9A9}">
      <dgm:prSet/>
      <dgm:spPr/>
      <dgm:t>
        <a:bodyPr/>
        <a:lstStyle/>
        <a:p>
          <a:endParaRPr lang="en-US"/>
        </a:p>
      </dgm:t>
    </dgm:pt>
    <dgm:pt modelId="{C730E6CC-00ED-452E-ADB7-1ACBAEC26091}" type="sibTrans" cxnId="{B873324C-97A4-4DE4-951E-74AC17DAC9A9}">
      <dgm:prSet/>
      <dgm:spPr/>
      <dgm:t>
        <a:bodyPr/>
        <a:lstStyle/>
        <a:p>
          <a:endParaRPr lang="en-US"/>
        </a:p>
      </dgm:t>
    </dgm:pt>
    <dgm:pt modelId="{97502FF2-5021-4864-83D2-9E880078C7CB}" type="pres">
      <dgm:prSet presAssocID="{FC0E08CC-7A84-4FA7-939A-4F489E8F25DB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EC1981F3-B922-46B1-A383-7FD80410D418}" type="pres">
      <dgm:prSet presAssocID="{00EB5E46-E719-486B-B3EC-D8FCA550D413}" presName="root" presStyleCnt="0"/>
      <dgm:spPr/>
      <dgm:t>
        <a:bodyPr/>
        <a:lstStyle/>
        <a:p>
          <a:endParaRPr lang="en-US"/>
        </a:p>
      </dgm:t>
    </dgm:pt>
    <dgm:pt modelId="{25FE0B1E-0C84-4D92-8FDD-22841DCD73BA}" type="pres">
      <dgm:prSet presAssocID="{00EB5E46-E719-486B-B3EC-D8FCA550D413}" presName="rootComposite" presStyleCnt="0"/>
      <dgm:spPr/>
      <dgm:t>
        <a:bodyPr/>
        <a:lstStyle/>
        <a:p>
          <a:endParaRPr lang="en-US"/>
        </a:p>
      </dgm:t>
    </dgm:pt>
    <dgm:pt modelId="{19D82C40-1E26-4D07-BBCB-17012AD2558D}" type="pres">
      <dgm:prSet presAssocID="{00EB5E46-E719-486B-B3EC-D8FCA550D413}" presName="rootText" presStyleLbl="node1" presStyleIdx="0" presStyleCnt="9"/>
      <dgm:spPr/>
      <dgm:t>
        <a:bodyPr/>
        <a:lstStyle/>
        <a:p>
          <a:endParaRPr lang="en-US"/>
        </a:p>
      </dgm:t>
    </dgm:pt>
    <dgm:pt modelId="{E3C0AC98-AD6A-4180-AF38-63DA97C48EA9}" type="pres">
      <dgm:prSet presAssocID="{00EB5E46-E719-486B-B3EC-D8FCA550D413}" presName="rootConnector" presStyleLbl="node1" presStyleIdx="0" presStyleCnt="9"/>
      <dgm:spPr/>
      <dgm:t>
        <a:bodyPr/>
        <a:lstStyle/>
        <a:p>
          <a:endParaRPr lang="en-US"/>
        </a:p>
      </dgm:t>
    </dgm:pt>
    <dgm:pt modelId="{32A58F29-E342-44F8-AC3C-380A9C39C1A2}" type="pres">
      <dgm:prSet presAssocID="{00EB5E46-E719-486B-B3EC-D8FCA550D413}" presName="childShape" presStyleCnt="0"/>
      <dgm:spPr/>
      <dgm:t>
        <a:bodyPr/>
        <a:lstStyle/>
        <a:p>
          <a:endParaRPr lang="en-US"/>
        </a:p>
      </dgm:t>
    </dgm:pt>
    <dgm:pt modelId="{7630F261-8DF1-4D19-AB5E-8A9B0055A06A}" type="pres">
      <dgm:prSet presAssocID="{722489FF-B0EE-4674-972F-7BA81487BBD1}" presName="Name13" presStyleLbl="parChTrans1D2" presStyleIdx="0" presStyleCnt="31"/>
      <dgm:spPr/>
      <dgm:t>
        <a:bodyPr/>
        <a:lstStyle/>
        <a:p>
          <a:endParaRPr lang="en-US"/>
        </a:p>
      </dgm:t>
    </dgm:pt>
    <dgm:pt modelId="{9E83BECD-D4CE-4BCC-B0F6-5FE6ECF8BEAB}" type="pres">
      <dgm:prSet presAssocID="{AD7A7165-8E7B-4733-B8B5-8FBCCE27088E}" presName="childText" presStyleLbl="bgAcc1" presStyleIdx="0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8261EB4-6506-4CD0-B933-63F21768961F}" type="pres">
      <dgm:prSet presAssocID="{B6D80DED-73A2-4D64-B2B7-DC6B8613B37E}" presName="root" presStyleCnt="0"/>
      <dgm:spPr/>
      <dgm:t>
        <a:bodyPr/>
        <a:lstStyle/>
        <a:p>
          <a:endParaRPr lang="en-US"/>
        </a:p>
      </dgm:t>
    </dgm:pt>
    <dgm:pt modelId="{9C780B58-35CB-4CC2-AD1F-AAB8B626DAE8}" type="pres">
      <dgm:prSet presAssocID="{B6D80DED-73A2-4D64-B2B7-DC6B8613B37E}" presName="rootComposite" presStyleCnt="0"/>
      <dgm:spPr/>
      <dgm:t>
        <a:bodyPr/>
        <a:lstStyle/>
        <a:p>
          <a:endParaRPr lang="en-US"/>
        </a:p>
      </dgm:t>
    </dgm:pt>
    <dgm:pt modelId="{F2138B1E-B233-42C0-880B-42725F18062E}" type="pres">
      <dgm:prSet presAssocID="{B6D80DED-73A2-4D64-B2B7-DC6B8613B37E}" presName="rootText" presStyleLbl="node1" presStyleIdx="1" presStyleCnt="9"/>
      <dgm:spPr/>
      <dgm:t>
        <a:bodyPr/>
        <a:lstStyle/>
        <a:p>
          <a:endParaRPr lang="en-US"/>
        </a:p>
      </dgm:t>
    </dgm:pt>
    <dgm:pt modelId="{F87391BD-EDD6-4AE1-A373-830547F23BFA}" type="pres">
      <dgm:prSet presAssocID="{B6D80DED-73A2-4D64-B2B7-DC6B8613B37E}" presName="rootConnector" presStyleLbl="node1" presStyleIdx="1" presStyleCnt="9"/>
      <dgm:spPr/>
      <dgm:t>
        <a:bodyPr/>
        <a:lstStyle/>
        <a:p>
          <a:endParaRPr lang="en-US"/>
        </a:p>
      </dgm:t>
    </dgm:pt>
    <dgm:pt modelId="{953F1C62-629F-4296-89D2-9502DBD4116E}" type="pres">
      <dgm:prSet presAssocID="{B6D80DED-73A2-4D64-B2B7-DC6B8613B37E}" presName="childShape" presStyleCnt="0"/>
      <dgm:spPr/>
      <dgm:t>
        <a:bodyPr/>
        <a:lstStyle/>
        <a:p>
          <a:endParaRPr lang="en-US"/>
        </a:p>
      </dgm:t>
    </dgm:pt>
    <dgm:pt modelId="{B453E302-B740-4279-95AD-CC39B13FF5FC}" type="pres">
      <dgm:prSet presAssocID="{A4AB2DFB-7D8B-47F8-8099-2E5C467558DB}" presName="Name13" presStyleLbl="parChTrans1D2" presStyleIdx="1" presStyleCnt="31"/>
      <dgm:spPr/>
      <dgm:t>
        <a:bodyPr/>
        <a:lstStyle/>
        <a:p>
          <a:endParaRPr lang="en-US"/>
        </a:p>
      </dgm:t>
    </dgm:pt>
    <dgm:pt modelId="{F5B47F16-DC93-4910-9129-12971E7101ED}" type="pres">
      <dgm:prSet presAssocID="{E270EB53-921D-48F0-8BCD-BB2B6AFA0AED}" presName="childText" presStyleLbl="bgAcc1" presStyleIdx="1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8FEB66F-4598-49C6-B8FA-777D8D6DF8DD}" type="pres">
      <dgm:prSet presAssocID="{DF3495EB-08BA-473F-92BF-BDA7156C0E06}" presName="Name13" presStyleLbl="parChTrans1D2" presStyleIdx="2" presStyleCnt="31"/>
      <dgm:spPr/>
      <dgm:t>
        <a:bodyPr/>
        <a:lstStyle/>
        <a:p>
          <a:endParaRPr lang="en-US"/>
        </a:p>
      </dgm:t>
    </dgm:pt>
    <dgm:pt modelId="{39738A6D-5E0D-458D-AF43-A6186DE73456}" type="pres">
      <dgm:prSet presAssocID="{D0BFAE95-6C42-47C2-9218-AF88A5154A13}" presName="childText" presStyleLbl="bgAcc1" presStyleIdx="2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DF463F1-73EB-4311-97B4-5AA86D2426FB}" type="pres">
      <dgm:prSet presAssocID="{7BC95BD0-0F61-4D20-85C6-029B4F2B38C2}" presName="Name13" presStyleLbl="parChTrans1D2" presStyleIdx="3" presStyleCnt="31"/>
      <dgm:spPr/>
      <dgm:t>
        <a:bodyPr/>
        <a:lstStyle/>
        <a:p>
          <a:endParaRPr lang="en-US"/>
        </a:p>
      </dgm:t>
    </dgm:pt>
    <dgm:pt modelId="{4E115F6E-13FF-4662-BBE0-5560E888DBB4}" type="pres">
      <dgm:prSet presAssocID="{0A800837-5C0D-46BB-8353-DFDA5D20F78D}" presName="childText" presStyleLbl="bgAcc1" presStyleIdx="3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F81C446-1FD9-4572-BF5B-8DC0BC5CAD90}" type="pres">
      <dgm:prSet presAssocID="{63909DF1-72DE-4CAC-A741-DD50D66932AA}" presName="root" presStyleCnt="0"/>
      <dgm:spPr/>
      <dgm:t>
        <a:bodyPr/>
        <a:lstStyle/>
        <a:p>
          <a:endParaRPr lang="en-US"/>
        </a:p>
      </dgm:t>
    </dgm:pt>
    <dgm:pt modelId="{7EA899D5-2EC7-478E-88DF-F70727CE2FDA}" type="pres">
      <dgm:prSet presAssocID="{63909DF1-72DE-4CAC-A741-DD50D66932AA}" presName="rootComposite" presStyleCnt="0"/>
      <dgm:spPr/>
      <dgm:t>
        <a:bodyPr/>
        <a:lstStyle/>
        <a:p>
          <a:endParaRPr lang="en-US"/>
        </a:p>
      </dgm:t>
    </dgm:pt>
    <dgm:pt modelId="{54D08467-B7BA-4C54-B9FD-66B167D62073}" type="pres">
      <dgm:prSet presAssocID="{63909DF1-72DE-4CAC-A741-DD50D66932AA}" presName="rootText" presStyleLbl="node1" presStyleIdx="2" presStyleCnt="9"/>
      <dgm:spPr/>
      <dgm:t>
        <a:bodyPr/>
        <a:lstStyle/>
        <a:p>
          <a:endParaRPr lang="en-US"/>
        </a:p>
      </dgm:t>
    </dgm:pt>
    <dgm:pt modelId="{B7B23A35-C853-493E-B43B-362B1A81BCC3}" type="pres">
      <dgm:prSet presAssocID="{63909DF1-72DE-4CAC-A741-DD50D66932AA}" presName="rootConnector" presStyleLbl="node1" presStyleIdx="2" presStyleCnt="9"/>
      <dgm:spPr/>
      <dgm:t>
        <a:bodyPr/>
        <a:lstStyle/>
        <a:p>
          <a:endParaRPr lang="en-US"/>
        </a:p>
      </dgm:t>
    </dgm:pt>
    <dgm:pt modelId="{737EEB2D-0D41-49CB-BEA0-C9682DCDE592}" type="pres">
      <dgm:prSet presAssocID="{63909DF1-72DE-4CAC-A741-DD50D66932AA}" presName="childShape" presStyleCnt="0"/>
      <dgm:spPr/>
      <dgm:t>
        <a:bodyPr/>
        <a:lstStyle/>
        <a:p>
          <a:endParaRPr lang="en-US"/>
        </a:p>
      </dgm:t>
    </dgm:pt>
    <dgm:pt modelId="{534676F9-F213-4599-B213-AADC63F28215}" type="pres">
      <dgm:prSet presAssocID="{4EBB08B8-BCB1-463F-B508-D0F8FF4F742D}" presName="Name13" presStyleLbl="parChTrans1D2" presStyleIdx="4" presStyleCnt="31"/>
      <dgm:spPr/>
      <dgm:t>
        <a:bodyPr/>
        <a:lstStyle/>
        <a:p>
          <a:endParaRPr lang="en-US"/>
        </a:p>
      </dgm:t>
    </dgm:pt>
    <dgm:pt modelId="{72D9CE66-FC23-4CE2-9911-A873CE4C1563}" type="pres">
      <dgm:prSet presAssocID="{F62F648C-E042-494E-8A6C-1341E84C4738}" presName="childText" presStyleLbl="bgAcc1" presStyleIdx="4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4EBAAD0-183C-4E5E-9D83-60288DA02585}" type="pres">
      <dgm:prSet presAssocID="{D4542875-4A66-4C07-AC61-C9F43336C3E9}" presName="Name13" presStyleLbl="parChTrans1D2" presStyleIdx="5" presStyleCnt="31"/>
      <dgm:spPr/>
      <dgm:t>
        <a:bodyPr/>
        <a:lstStyle/>
        <a:p>
          <a:endParaRPr lang="en-US"/>
        </a:p>
      </dgm:t>
    </dgm:pt>
    <dgm:pt modelId="{F89F9FFA-B547-4961-8DDB-36AC629C36D5}" type="pres">
      <dgm:prSet presAssocID="{07D60D36-C8D6-4024-B667-65F558C1FCDC}" presName="childText" presStyleLbl="bgAcc1" presStyleIdx="5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7CC5BA7-7A07-4427-BBC1-46F0A3372297}" type="pres">
      <dgm:prSet presAssocID="{4F9065C7-51A6-4E03-95BF-C4B733A5D43C}" presName="Name13" presStyleLbl="parChTrans1D2" presStyleIdx="6" presStyleCnt="31"/>
      <dgm:spPr/>
      <dgm:t>
        <a:bodyPr/>
        <a:lstStyle/>
        <a:p>
          <a:endParaRPr lang="en-US"/>
        </a:p>
      </dgm:t>
    </dgm:pt>
    <dgm:pt modelId="{CE4B9D8F-E40F-47FB-A3A2-5A3E4024EDDC}" type="pres">
      <dgm:prSet presAssocID="{9A80B4E2-78E6-4681-9869-DFDE5DDA3658}" presName="childText" presStyleLbl="bgAcc1" presStyleIdx="6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13FD201-644E-4052-B2E3-337F37B795AF}" type="pres">
      <dgm:prSet presAssocID="{964C6ACA-0F37-4052-85A3-DCF04DE65438}" presName="Name13" presStyleLbl="parChTrans1D2" presStyleIdx="7" presStyleCnt="31"/>
      <dgm:spPr/>
      <dgm:t>
        <a:bodyPr/>
        <a:lstStyle/>
        <a:p>
          <a:endParaRPr lang="en-US"/>
        </a:p>
      </dgm:t>
    </dgm:pt>
    <dgm:pt modelId="{5ACB63D1-E1F4-4F3A-B2C4-99FBA26AD595}" type="pres">
      <dgm:prSet presAssocID="{8041A5CC-0570-465A-8FD4-6DF6CF1C7A90}" presName="childText" presStyleLbl="bgAcc1" presStyleIdx="7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31489EC-1E5D-487C-A4CC-4E6B1CA7FDB9}" type="pres">
      <dgm:prSet presAssocID="{EF0A6EF6-E6E6-4BA3-992B-35251C04D80C}" presName="Name13" presStyleLbl="parChTrans1D2" presStyleIdx="8" presStyleCnt="31"/>
      <dgm:spPr/>
      <dgm:t>
        <a:bodyPr/>
        <a:lstStyle/>
        <a:p>
          <a:endParaRPr lang="en-US"/>
        </a:p>
      </dgm:t>
    </dgm:pt>
    <dgm:pt modelId="{AB55C7DB-72B2-45CC-811A-DFC7FF689F7E}" type="pres">
      <dgm:prSet presAssocID="{2886D5B9-9CB3-4B43-B59E-80C35AB953B6}" presName="childText" presStyleLbl="bgAcc1" presStyleIdx="8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BCD9BDA-3C6D-44FE-97E7-496085F0ADC3}" type="pres">
      <dgm:prSet presAssocID="{398B32B1-B516-480B-99A3-F444BA8C0413}" presName="Name13" presStyleLbl="parChTrans1D2" presStyleIdx="9" presStyleCnt="31"/>
      <dgm:spPr/>
      <dgm:t>
        <a:bodyPr/>
        <a:lstStyle/>
        <a:p>
          <a:endParaRPr lang="en-US"/>
        </a:p>
      </dgm:t>
    </dgm:pt>
    <dgm:pt modelId="{8E098660-988D-4E9E-8AA7-FAA9CDA911CF}" type="pres">
      <dgm:prSet presAssocID="{E3A2994E-7EAD-4244-B110-A391E3A64F93}" presName="childText" presStyleLbl="bgAcc1" presStyleIdx="9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FE7916D-3A1B-4604-9399-79263E7834E2}" type="pres">
      <dgm:prSet presAssocID="{16B6CE0F-22D6-48DB-BB7D-96AB7B0C9AF3}" presName="Name13" presStyleLbl="parChTrans1D2" presStyleIdx="10" presStyleCnt="31"/>
      <dgm:spPr/>
      <dgm:t>
        <a:bodyPr/>
        <a:lstStyle/>
        <a:p>
          <a:endParaRPr lang="en-US"/>
        </a:p>
      </dgm:t>
    </dgm:pt>
    <dgm:pt modelId="{1000B667-64DD-404D-B1B1-C2324CD4DEDA}" type="pres">
      <dgm:prSet presAssocID="{83311B6B-EDAC-4BFF-83D9-A020BB7241A7}" presName="childText" presStyleLbl="bgAcc1" presStyleIdx="10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C8219A-A0AB-435D-BBC9-69BE7317238F}" type="pres">
      <dgm:prSet presAssocID="{C1B43A39-BAA5-4977-BCAB-80333E6BBAFB}" presName="Name13" presStyleLbl="parChTrans1D2" presStyleIdx="11" presStyleCnt="31"/>
      <dgm:spPr/>
      <dgm:t>
        <a:bodyPr/>
        <a:lstStyle/>
        <a:p>
          <a:endParaRPr lang="en-US"/>
        </a:p>
      </dgm:t>
    </dgm:pt>
    <dgm:pt modelId="{7EBAA92F-B826-4793-AF81-950B91B15261}" type="pres">
      <dgm:prSet presAssocID="{7097E6C3-1CA9-4BE6-ABA5-381C2FA3E14A}" presName="childText" presStyleLbl="bgAcc1" presStyleIdx="11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10DD603-59BB-4ECB-94FB-00A1271D6405}" type="pres">
      <dgm:prSet presAssocID="{0A8CA9B0-3903-4A59-9027-CC2B09483B9D}" presName="Name13" presStyleLbl="parChTrans1D2" presStyleIdx="12" presStyleCnt="31"/>
      <dgm:spPr/>
      <dgm:t>
        <a:bodyPr/>
        <a:lstStyle/>
        <a:p>
          <a:endParaRPr lang="en-US"/>
        </a:p>
      </dgm:t>
    </dgm:pt>
    <dgm:pt modelId="{11039ABE-1C5B-45A2-A428-2E7D5CA17E49}" type="pres">
      <dgm:prSet presAssocID="{81989AB4-55B4-439D-8AB9-03EF1714D3CE}" presName="childText" presStyleLbl="bgAcc1" presStyleIdx="12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AF34497-F0CD-4170-B1D8-D43A3E59FD9B}" type="pres">
      <dgm:prSet presAssocID="{387196D3-379C-43BE-804E-9DCA1909C704}" presName="root" presStyleCnt="0"/>
      <dgm:spPr/>
      <dgm:t>
        <a:bodyPr/>
        <a:lstStyle/>
        <a:p>
          <a:endParaRPr lang="en-US"/>
        </a:p>
      </dgm:t>
    </dgm:pt>
    <dgm:pt modelId="{EF03687D-810A-4DD7-8D17-5B3DF124518E}" type="pres">
      <dgm:prSet presAssocID="{387196D3-379C-43BE-804E-9DCA1909C704}" presName="rootComposite" presStyleCnt="0"/>
      <dgm:spPr/>
      <dgm:t>
        <a:bodyPr/>
        <a:lstStyle/>
        <a:p>
          <a:endParaRPr lang="en-US"/>
        </a:p>
      </dgm:t>
    </dgm:pt>
    <dgm:pt modelId="{A95604F1-E549-41CC-813D-EC83B1ECBE69}" type="pres">
      <dgm:prSet presAssocID="{387196D3-379C-43BE-804E-9DCA1909C704}" presName="rootText" presStyleLbl="node1" presStyleIdx="3" presStyleCnt="9"/>
      <dgm:spPr/>
      <dgm:t>
        <a:bodyPr/>
        <a:lstStyle/>
        <a:p>
          <a:endParaRPr lang="en-US"/>
        </a:p>
      </dgm:t>
    </dgm:pt>
    <dgm:pt modelId="{123704D1-B565-41DD-B4AC-07492CBE8C6C}" type="pres">
      <dgm:prSet presAssocID="{387196D3-379C-43BE-804E-9DCA1909C704}" presName="rootConnector" presStyleLbl="node1" presStyleIdx="3" presStyleCnt="9"/>
      <dgm:spPr/>
      <dgm:t>
        <a:bodyPr/>
        <a:lstStyle/>
        <a:p>
          <a:endParaRPr lang="en-US"/>
        </a:p>
      </dgm:t>
    </dgm:pt>
    <dgm:pt modelId="{1E3649DA-986C-4D8B-84C7-25FC7CD7A337}" type="pres">
      <dgm:prSet presAssocID="{387196D3-379C-43BE-804E-9DCA1909C704}" presName="childShape" presStyleCnt="0"/>
      <dgm:spPr/>
      <dgm:t>
        <a:bodyPr/>
        <a:lstStyle/>
        <a:p>
          <a:endParaRPr lang="en-US"/>
        </a:p>
      </dgm:t>
    </dgm:pt>
    <dgm:pt modelId="{376ED340-0CBB-46B6-915B-367ABFE16863}" type="pres">
      <dgm:prSet presAssocID="{D93B6838-D664-4A55-B7B2-5F5E8129342D}" presName="Name13" presStyleLbl="parChTrans1D2" presStyleIdx="13" presStyleCnt="31"/>
      <dgm:spPr/>
      <dgm:t>
        <a:bodyPr/>
        <a:lstStyle/>
        <a:p>
          <a:endParaRPr lang="en-US"/>
        </a:p>
      </dgm:t>
    </dgm:pt>
    <dgm:pt modelId="{31283B55-727E-4E27-87BB-74B95C51B723}" type="pres">
      <dgm:prSet presAssocID="{C609C46E-BBF4-485F-8F64-A3DBC0420105}" presName="childText" presStyleLbl="bgAcc1" presStyleIdx="13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77D92BE-30F7-4CA8-AB1C-B6B03EAE682C}" type="pres">
      <dgm:prSet presAssocID="{F1940A35-D589-498E-9C8C-4077BE5F8AF1}" presName="Name13" presStyleLbl="parChTrans1D2" presStyleIdx="14" presStyleCnt="31"/>
      <dgm:spPr/>
      <dgm:t>
        <a:bodyPr/>
        <a:lstStyle/>
        <a:p>
          <a:endParaRPr lang="en-US"/>
        </a:p>
      </dgm:t>
    </dgm:pt>
    <dgm:pt modelId="{BD1F80D1-C1DC-4999-A6DC-9663DE8F5A88}" type="pres">
      <dgm:prSet presAssocID="{EBADBFB6-B87A-4AB8-BDDA-B030F2740B84}" presName="childText" presStyleLbl="bgAcc1" presStyleIdx="14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6F92AEB-BB2D-4612-A0CB-9B3ED62F30B5}" type="pres">
      <dgm:prSet presAssocID="{E2082F57-D81C-4ED8-A4AD-D4EE3F72C077}" presName="Name13" presStyleLbl="parChTrans1D2" presStyleIdx="15" presStyleCnt="31"/>
      <dgm:spPr/>
      <dgm:t>
        <a:bodyPr/>
        <a:lstStyle/>
        <a:p>
          <a:endParaRPr lang="en-US"/>
        </a:p>
      </dgm:t>
    </dgm:pt>
    <dgm:pt modelId="{997D1731-12F1-4A53-96B8-4FD5A9CD15F2}" type="pres">
      <dgm:prSet presAssocID="{995553E2-3F48-49C9-A2B6-9F32C0D67F29}" presName="childText" presStyleLbl="bgAcc1" presStyleIdx="15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DDC7B4D-6A65-4638-9B1D-3FAAD6DB6611}" type="pres">
      <dgm:prSet presAssocID="{9DDB6750-4836-4426-8F88-487E281B4F2A}" presName="root" presStyleCnt="0"/>
      <dgm:spPr/>
      <dgm:t>
        <a:bodyPr/>
        <a:lstStyle/>
        <a:p>
          <a:endParaRPr lang="en-US"/>
        </a:p>
      </dgm:t>
    </dgm:pt>
    <dgm:pt modelId="{2DC7364F-C57D-4468-A817-888690C3DB45}" type="pres">
      <dgm:prSet presAssocID="{9DDB6750-4836-4426-8F88-487E281B4F2A}" presName="rootComposite" presStyleCnt="0"/>
      <dgm:spPr/>
      <dgm:t>
        <a:bodyPr/>
        <a:lstStyle/>
        <a:p>
          <a:endParaRPr lang="en-US"/>
        </a:p>
      </dgm:t>
    </dgm:pt>
    <dgm:pt modelId="{401DE52C-705B-4F0F-A965-041A99AC8596}" type="pres">
      <dgm:prSet presAssocID="{9DDB6750-4836-4426-8F88-487E281B4F2A}" presName="rootText" presStyleLbl="node1" presStyleIdx="4" presStyleCnt="9"/>
      <dgm:spPr/>
      <dgm:t>
        <a:bodyPr/>
        <a:lstStyle/>
        <a:p>
          <a:endParaRPr lang="en-US"/>
        </a:p>
      </dgm:t>
    </dgm:pt>
    <dgm:pt modelId="{B39A4BBE-9A19-495A-84A5-24370B493E34}" type="pres">
      <dgm:prSet presAssocID="{9DDB6750-4836-4426-8F88-487E281B4F2A}" presName="rootConnector" presStyleLbl="node1" presStyleIdx="4" presStyleCnt="9"/>
      <dgm:spPr/>
      <dgm:t>
        <a:bodyPr/>
        <a:lstStyle/>
        <a:p>
          <a:endParaRPr lang="en-US"/>
        </a:p>
      </dgm:t>
    </dgm:pt>
    <dgm:pt modelId="{3EA89886-25FE-4A40-BA1E-C2EBD407777F}" type="pres">
      <dgm:prSet presAssocID="{9DDB6750-4836-4426-8F88-487E281B4F2A}" presName="childShape" presStyleCnt="0"/>
      <dgm:spPr/>
      <dgm:t>
        <a:bodyPr/>
        <a:lstStyle/>
        <a:p>
          <a:endParaRPr lang="en-US"/>
        </a:p>
      </dgm:t>
    </dgm:pt>
    <dgm:pt modelId="{E125A7DB-F70A-43F1-A53A-40D2441EDA38}" type="pres">
      <dgm:prSet presAssocID="{68CAA5DD-FA49-44B1-A46D-816B45E29E1E}" presName="Name13" presStyleLbl="parChTrans1D2" presStyleIdx="16" presStyleCnt="31"/>
      <dgm:spPr/>
      <dgm:t>
        <a:bodyPr/>
        <a:lstStyle/>
        <a:p>
          <a:endParaRPr lang="en-US"/>
        </a:p>
      </dgm:t>
    </dgm:pt>
    <dgm:pt modelId="{2476410F-3D33-40F8-8507-61F3E60FC2A9}" type="pres">
      <dgm:prSet presAssocID="{51E42CD3-3279-43CE-A82F-8A249A6FBF44}" presName="childText" presStyleLbl="bgAcc1" presStyleIdx="16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699F7E5-EB01-4966-AEC6-6E15D6D578E5}" type="pres">
      <dgm:prSet presAssocID="{043B53C1-522D-44A6-BB93-4309CBBB8A18}" presName="Name13" presStyleLbl="parChTrans1D2" presStyleIdx="17" presStyleCnt="31"/>
      <dgm:spPr/>
      <dgm:t>
        <a:bodyPr/>
        <a:lstStyle/>
        <a:p>
          <a:endParaRPr lang="en-US"/>
        </a:p>
      </dgm:t>
    </dgm:pt>
    <dgm:pt modelId="{617CFDC9-6D25-4A48-88F6-75C84F60799A}" type="pres">
      <dgm:prSet presAssocID="{D38E2E20-9D09-41F4-A3D4-9E0B083ABEF5}" presName="childText" presStyleLbl="bgAcc1" presStyleIdx="17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E8B784F-F4F7-469C-921E-9D1585F685E4}" type="pres">
      <dgm:prSet presAssocID="{CBC30AC1-5119-4669-A78F-466CC246DC71}" presName="root" presStyleCnt="0"/>
      <dgm:spPr/>
      <dgm:t>
        <a:bodyPr/>
        <a:lstStyle/>
        <a:p>
          <a:endParaRPr lang="en-US"/>
        </a:p>
      </dgm:t>
    </dgm:pt>
    <dgm:pt modelId="{91A9D1D7-34DA-47FB-8A66-5891161BF255}" type="pres">
      <dgm:prSet presAssocID="{CBC30AC1-5119-4669-A78F-466CC246DC71}" presName="rootComposite" presStyleCnt="0"/>
      <dgm:spPr/>
      <dgm:t>
        <a:bodyPr/>
        <a:lstStyle/>
        <a:p>
          <a:endParaRPr lang="en-US"/>
        </a:p>
      </dgm:t>
    </dgm:pt>
    <dgm:pt modelId="{93CC07DE-9848-49C7-9054-17138797428B}" type="pres">
      <dgm:prSet presAssocID="{CBC30AC1-5119-4669-A78F-466CC246DC71}" presName="rootText" presStyleLbl="node1" presStyleIdx="5" presStyleCnt="9" custLinFactNeighborX="-3614" custLinFactNeighborY="-21687"/>
      <dgm:spPr/>
      <dgm:t>
        <a:bodyPr/>
        <a:lstStyle/>
        <a:p>
          <a:endParaRPr lang="en-US"/>
        </a:p>
      </dgm:t>
    </dgm:pt>
    <dgm:pt modelId="{AF6F0AD5-6B30-4096-9577-07F27DFCF092}" type="pres">
      <dgm:prSet presAssocID="{CBC30AC1-5119-4669-A78F-466CC246DC71}" presName="rootConnector" presStyleLbl="node1" presStyleIdx="5" presStyleCnt="9"/>
      <dgm:spPr/>
      <dgm:t>
        <a:bodyPr/>
        <a:lstStyle/>
        <a:p>
          <a:endParaRPr lang="en-US"/>
        </a:p>
      </dgm:t>
    </dgm:pt>
    <dgm:pt modelId="{922D3AB9-9DF5-4660-B156-7508FBC1949A}" type="pres">
      <dgm:prSet presAssocID="{CBC30AC1-5119-4669-A78F-466CC246DC71}" presName="childShape" presStyleCnt="0"/>
      <dgm:spPr/>
      <dgm:t>
        <a:bodyPr/>
        <a:lstStyle/>
        <a:p>
          <a:endParaRPr lang="en-US"/>
        </a:p>
      </dgm:t>
    </dgm:pt>
    <dgm:pt modelId="{4E434111-071E-44A6-92E2-FF73501C15DD}" type="pres">
      <dgm:prSet presAssocID="{12A43E46-C762-4E09-BF73-1E959D8779CA}" presName="Name13" presStyleLbl="parChTrans1D2" presStyleIdx="18" presStyleCnt="31"/>
      <dgm:spPr/>
      <dgm:t>
        <a:bodyPr/>
        <a:lstStyle/>
        <a:p>
          <a:endParaRPr lang="en-US"/>
        </a:p>
      </dgm:t>
    </dgm:pt>
    <dgm:pt modelId="{459DB949-60CC-443F-9A3C-4107D91683D5}" type="pres">
      <dgm:prSet presAssocID="{6C16DE70-0958-457F-A3F1-BB8C9610A7D4}" presName="childText" presStyleLbl="bgAcc1" presStyleIdx="18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9D44BE-410C-4603-B476-29D156538DFB}" type="pres">
      <dgm:prSet presAssocID="{B6E70952-AC11-4F38-9990-320BF0B28610}" presName="Name13" presStyleLbl="parChTrans1D2" presStyleIdx="19" presStyleCnt="31"/>
      <dgm:spPr/>
      <dgm:t>
        <a:bodyPr/>
        <a:lstStyle/>
        <a:p>
          <a:endParaRPr lang="en-US"/>
        </a:p>
      </dgm:t>
    </dgm:pt>
    <dgm:pt modelId="{21689643-EA09-4D18-BB56-22440C0136A5}" type="pres">
      <dgm:prSet presAssocID="{D54D9019-632A-431A-A736-C7CF12E96EE9}" presName="childText" presStyleLbl="bgAcc1" presStyleIdx="19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8E012A8-6989-4719-87F4-B5232A699E16}" type="pres">
      <dgm:prSet presAssocID="{A23D85E1-68EE-4B07-A0F0-904508AE97CE}" presName="Name13" presStyleLbl="parChTrans1D2" presStyleIdx="20" presStyleCnt="31"/>
      <dgm:spPr/>
      <dgm:t>
        <a:bodyPr/>
        <a:lstStyle/>
        <a:p>
          <a:endParaRPr lang="en-US"/>
        </a:p>
      </dgm:t>
    </dgm:pt>
    <dgm:pt modelId="{62886DF6-8549-4B0E-9D9D-251E80E1CBDD}" type="pres">
      <dgm:prSet presAssocID="{694D3CA8-DF2F-467E-BF31-4473461ED72F}" presName="childText" presStyleLbl="bgAcc1" presStyleIdx="20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A4C5356-CCDA-49A4-B03E-6F5F92819E0D}" type="pres">
      <dgm:prSet presAssocID="{9A134661-A511-423D-BFC5-3BC0F76A8172}" presName="Name13" presStyleLbl="parChTrans1D2" presStyleIdx="21" presStyleCnt="31"/>
      <dgm:spPr/>
      <dgm:t>
        <a:bodyPr/>
        <a:lstStyle/>
        <a:p>
          <a:endParaRPr lang="en-US"/>
        </a:p>
      </dgm:t>
    </dgm:pt>
    <dgm:pt modelId="{6A647378-2E26-4337-B2E2-DD52A3275FE3}" type="pres">
      <dgm:prSet presAssocID="{405682F5-A2CF-4974-839C-22BB4A14E0D9}" presName="childText" presStyleLbl="bgAcc1" presStyleIdx="21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D1AEEDD-807B-481D-9EE8-266C73486F04}" type="pres">
      <dgm:prSet presAssocID="{1C6D5B49-CC9A-48BE-A928-821BB02A2602}" presName="Name13" presStyleLbl="parChTrans1D2" presStyleIdx="22" presStyleCnt="31"/>
      <dgm:spPr/>
      <dgm:t>
        <a:bodyPr/>
        <a:lstStyle/>
        <a:p>
          <a:endParaRPr lang="en-US"/>
        </a:p>
      </dgm:t>
    </dgm:pt>
    <dgm:pt modelId="{7CAC45FF-F251-46E4-B4FD-423BD3A36E41}" type="pres">
      <dgm:prSet presAssocID="{68F4111B-7255-4AB4-832D-7FC6DD955F21}" presName="childText" presStyleLbl="bgAcc1" presStyleIdx="22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00168A9-0A8B-4F51-AE13-0AF9EC3500DF}" type="pres">
      <dgm:prSet presAssocID="{92F3429E-84CA-4AA4-92D9-FA316B6E87EE}" presName="Name13" presStyleLbl="parChTrans1D2" presStyleIdx="23" presStyleCnt="31"/>
      <dgm:spPr/>
      <dgm:t>
        <a:bodyPr/>
        <a:lstStyle/>
        <a:p>
          <a:endParaRPr lang="en-US"/>
        </a:p>
      </dgm:t>
    </dgm:pt>
    <dgm:pt modelId="{41497001-F1C5-4CB3-B6C0-1A205DE55BE2}" type="pres">
      <dgm:prSet presAssocID="{0C8168C1-1BC3-45E3-9957-156291D5E622}" presName="childText" presStyleLbl="bgAcc1" presStyleIdx="23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AC52259-65EE-471A-B302-4172C0A6055E}" type="pres">
      <dgm:prSet presAssocID="{50B0FAAA-CD1A-4308-8C93-27C40C72DC4F}" presName="root" presStyleCnt="0"/>
      <dgm:spPr/>
      <dgm:t>
        <a:bodyPr/>
        <a:lstStyle/>
        <a:p>
          <a:endParaRPr lang="en-US"/>
        </a:p>
      </dgm:t>
    </dgm:pt>
    <dgm:pt modelId="{DA558E16-7582-49FC-9578-4BD880825F5C}" type="pres">
      <dgm:prSet presAssocID="{50B0FAAA-CD1A-4308-8C93-27C40C72DC4F}" presName="rootComposite" presStyleCnt="0"/>
      <dgm:spPr/>
      <dgm:t>
        <a:bodyPr/>
        <a:lstStyle/>
        <a:p>
          <a:endParaRPr lang="en-US"/>
        </a:p>
      </dgm:t>
    </dgm:pt>
    <dgm:pt modelId="{21E3A2C0-39A1-451C-B542-C94F410EE2BC}" type="pres">
      <dgm:prSet presAssocID="{50B0FAAA-CD1A-4308-8C93-27C40C72DC4F}" presName="rootText" presStyleLbl="node1" presStyleIdx="6" presStyleCnt="9"/>
      <dgm:spPr/>
      <dgm:t>
        <a:bodyPr/>
        <a:lstStyle/>
        <a:p>
          <a:endParaRPr lang="en-US"/>
        </a:p>
      </dgm:t>
    </dgm:pt>
    <dgm:pt modelId="{D8F3A73D-B28C-4839-8B5F-18C00137D436}" type="pres">
      <dgm:prSet presAssocID="{50B0FAAA-CD1A-4308-8C93-27C40C72DC4F}" presName="rootConnector" presStyleLbl="node1" presStyleIdx="6" presStyleCnt="9"/>
      <dgm:spPr/>
      <dgm:t>
        <a:bodyPr/>
        <a:lstStyle/>
        <a:p>
          <a:endParaRPr lang="en-US"/>
        </a:p>
      </dgm:t>
    </dgm:pt>
    <dgm:pt modelId="{F3266C67-F449-431D-A3FE-4FDEDCCDBBCD}" type="pres">
      <dgm:prSet presAssocID="{50B0FAAA-CD1A-4308-8C93-27C40C72DC4F}" presName="childShape" presStyleCnt="0"/>
      <dgm:spPr/>
      <dgm:t>
        <a:bodyPr/>
        <a:lstStyle/>
        <a:p>
          <a:endParaRPr lang="en-US"/>
        </a:p>
      </dgm:t>
    </dgm:pt>
    <dgm:pt modelId="{E3510D3B-C18B-41CD-8901-9FF8286B3654}" type="pres">
      <dgm:prSet presAssocID="{CDC05BC0-4FBA-4537-829A-444271FBCFF6}" presName="Name13" presStyleLbl="parChTrans1D2" presStyleIdx="24" presStyleCnt="31"/>
      <dgm:spPr/>
      <dgm:t>
        <a:bodyPr/>
        <a:lstStyle/>
        <a:p>
          <a:endParaRPr lang="en-US"/>
        </a:p>
      </dgm:t>
    </dgm:pt>
    <dgm:pt modelId="{FCE5A3B5-FB82-41E8-BAC3-C40DE9C0C13F}" type="pres">
      <dgm:prSet presAssocID="{417E7999-DDE0-43BA-92B4-7FCB2DD2C24D}" presName="childText" presStyleLbl="bgAcc1" presStyleIdx="24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3A3DB23-E6F2-4CBA-94AE-54E596D6F022}" type="pres">
      <dgm:prSet presAssocID="{4BA91959-9435-4242-8693-6AF3791300F0}" presName="Name13" presStyleLbl="parChTrans1D2" presStyleIdx="25" presStyleCnt="31"/>
      <dgm:spPr/>
      <dgm:t>
        <a:bodyPr/>
        <a:lstStyle/>
        <a:p>
          <a:endParaRPr lang="en-US"/>
        </a:p>
      </dgm:t>
    </dgm:pt>
    <dgm:pt modelId="{EF518F7B-F206-466D-B3B6-2B119E2CACCC}" type="pres">
      <dgm:prSet presAssocID="{54BB561F-C1AA-4D1B-B8E6-719E0B5B4413}" presName="childText" presStyleLbl="bgAcc1" presStyleIdx="25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0600A31-1859-46B5-97C9-946A4F32DC32}" type="pres">
      <dgm:prSet presAssocID="{046A1A90-E574-4546-A4DF-6306932248C8}" presName="Name13" presStyleLbl="parChTrans1D2" presStyleIdx="26" presStyleCnt="31"/>
      <dgm:spPr/>
      <dgm:t>
        <a:bodyPr/>
        <a:lstStyle/>
        <a:p>
          <a:endParaRPr lang="en-US"/>
        </a:p>
      </dgm:t>
    </dgm:pt>
    <dgm:pt modelId="{61E948B0-C6D0-4DAA-829B-35030A9E03D9}" type="pres">
      <dgm:prSet presAssocID="{96A89688-ABA9-47DE-9DA2-2CBC221A4707}" presName="childText" presStyleLbl="bgAcc1" presStyleIdx="26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48D9CFA-7F2D-45CE-B06E-0CA1D49DA920}" type="pres">
      <dgm:prSet presAssocID="{12EE336C-CFBF-47C8-8437-D448A5CAEA6D}" presName="Name13" presStyleLbl="parChTrans1D2" presStyleIdx="27" presStyleCnt="31"/>
      <dgm:spPr/>
      <dgm:t>
        <a:bodyPr/>
        <a:lstStyle/>
        <a:p>
          <a:endParaRPr lang="en-US"/>
        </a:p>
      </dgm:t>
    </dgm:pt>
    <dgm:pt modelId="{0C7C3F92-670F-4119-BFF9-C4C27328014C}" type="pres">
      <dgm:prSet presAssocID="{9AD31366-5087-4DFC-8B40-F2B2AB51E8F0}" presName="childText" presStyleLbl="bgAcc1" presStyleIdx="27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4166CF7-58A8-4440-B252-4EA8EA4B0CBE}" type="pres">
      <dgm:prSet presAssocID="{7B08E8B9-A7AF-4B1E-BF13-553FA40872B6}" presName="Name13" presStyleLbl="parChTrans1D2" presStyleIdx="28" presStyleCnt="31"/>
      <dgm:spPr/>
      <dgm:t>
        <a:bodyPr/>
        <a:lstStyle/>
        <a:p>
          <a:endParaRPr lang="en-US"/>
        </a:p>
      </dgm:t>
    </dgm:pt>
    <dgm:pt modelId="{3C29ABEF-705B-40F5-B102-844137FE69B2}" type="pres">
      <dgm:prSet presAssocID="{4D06E078-154F-44AE-BE23-D475810FB79D}" presName="childText" presStyleLbl="bgAcc1" presStyleIdx="28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F70B81E-5185-4E44-83AC-5C1E9092D91A}" type="pres">
      <dgm:prSet presAssocID="{1FC0E404-8AEE-43AD-926F-5F41FB720A35}" presName="root" presStyleCnt="0"/>
      <dgm:spPr/>
      <dgm:t>
        <a:bodyPr/>
        <a:lstStyle/>
        <a:p>
          <a:endParaRPr lang="en-US"/>
        </a:p>
      </dgm:t>
    </dgm:pt>
    <dgm:pt modelId="{A743FD23-DDEE-44DD-85DF-44104C4E9421}" type="pres">
      <dgm:prSet presAssocID="{1FC0E404-8AEE-43AD-926F-5F41FB720A35}" presName="rootComposite" presStyleCnt="0"/>
      <dgm:spPr/>
      <dgm:t>
        <a:bodyPr/>
        <a:lstStyle/>
        <a:p>
          <a:endParaRPr lang="en-US"/>
        </a:p>
      </dgm:t>
    </dgm:pt>
    <dgm:pt modelId="{0E5BAF8B-E9E8-4A1C-B338-69713C013FC2}" type="pres">
      <dgm:prSet presAssocID="{1FC0E404-8AEE-43AD-926F-5F41FB720A35}" presName="rootText" presStyleLbl="node1" presStyleIdx="7" presStyleCnt="9"/>
      <dgm:spPr/>
      <dgm:t>
        <a:bodyPr/>
        <a:lstStyle/>
        <a:p>
          <a:endParaRPr lang="en-US"/>
        </a:p>
      </dgm:t>
    </dgm:pt>
    <dgm:pt modelId="{753A2E17-2A98-415C-9953-0A6F35421146}" type="pres">
      <dgm:prSet presAssocID="{1FC0E404-8AEE-43AD-926F-5F41FB720A35}" presName="rootConnector" presStyleLbl="node1" presStyleIdx="7" presStyleCnt="9"/>
      <dgm:spPr/>
      <dgm:t>
        <a:bodyPr/>
        <a:lstStyle/>
        <a:p>
          <a:endParaRPr lang="en-US"/>
        </a:p>
      </dgm:t>
    </dgm:pt>
    <dgm:pt modelId="{F4F680FA-DC93-4DC1-9FCC-3443DFD715E4}" type="pres">
      <dgm:prSet presAssocID="{1FC0E404-8AEE-43AD-926F-5F41FB720A35}" presName="childShape" presStyleCnt="0"/>
      <dgm:spPr/>
      <dgm:t>
        <a:bodyPr/>
        <a:lstStyle/>
        <a:p>
          <a:endParaRPr lang="en-US"/>
        </a:p>
      </dgm:t>
    </dgm:pt>
    <dgm:pt modelId="{380DCD66-32ED-4293-99E3-672D133A68F5}" type="pres">
      <dgm:prSet presAssocID="{04715AC7-63BC-41CA-99C0-161902D7736D}" presName="Name13" presStyleLbl="parChTrans1D2" presStyleIdx="29" presStyleCnt="31"/>
      <dgm:spPr/>
      <dgm:t>
        <a:bodyPr/>
        <a:lstStyle/>
        <a:p>
          <a:endParaRPr lang="en-US"/>
        </a:p>
      </dgm:t>
    </dgm:pt>
    <dgm:pt modelId="{8428846F-AB1D-4E49-8DB8-2A1865B5B5AD}" type="pres">
      <dgm:prSet presAssocID="{C1B46E97-8542-45D2-B26E-A109FACB82F3}" presName="childText" presStyleLbl="bgAcc1" presStyleIdx="29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A6DE8F6-440B-4808-87FA-F80E52429502}" type="pres">
      <dgm:prSet presAssocID="{184121C5-7604-447E-9E80-FEA8A381872A}" presName="root" presStyleCnt="0"/>
      <dgm:spPr/>
      <dgm:t>
        <a:bodyPr/>
        <a:lstStyle/>
        <a:p>
          <a:endParaRPr lang="en-US"/>
        </a:p>
      </dgm:t>
    </dgm:pt>
    <dgm:pt modelId="{85AF0D9A-462F-41B8-9324-755D665776A2}" type="pres">
      <dgm:prSet presAssocID="{184121C5-7604-447E-9E80-FEA8A381872A}" presName="rootComposite" presStyleCnt="0"/>
      <dgm:spPr/>
      <dgm:t>
        <a:bodyPr/>
        <a:lstStyle/>
        <a:p>
          <a:endParaRPr lang="en-US"/>
        </a:p>
      </dgm:t>
    </dgm:pt>
    <dgm:pt modelId="{D0163565-5814-434C-BC8F-DCAE04A5BAEA}" type="pres">
      <dgm:prSet presAssocID="{184121C5-7604-447E-9E80-FEA8A381872A}" presName="rootText" presStyleLbl="node1" presStyleIdx="8" presStyleCnt="9"/>
      <dgm:spPr/>
      <dgm:t>
        <a:bodyPr/>
        <a:lstStyle/>
        <a:p>
          <a:endParaRPr lang="en-US"/>
        </a:p>
      </dgm:t>
    </dgm:pt>
    <dgm:pt modelId="{4DDAEDF3-953A-4F0A-82BF-4BC7926D6326}" type="pres">
      <dgm:prSet presAssocID="{184121C5-7604-447E-9E80-FEA8A381872A}" presName="rootConnector" presStyleLbl="node1" presStyleIdx="8" presStyleCnt="9"/>
      <dgm:spPr/>
      <dgm:t>
        <a:bodyPr/>
        <a:lstStyle/>
        <a:p>
          <a:endParaRPr lang="en-US"/>
        </a:p>
      </dgm:t>
    </dgm:pt>
    <dgm:pt modelId="{D40F694C-02F1-4AEC-90CF-4A6CCE7E3328}" type="pres">
      <dgm:prSet presAssocID="{184121C5-7604-447E-9E80-FEA8A381872A}" presName="childShape" presStyleCnt="0"/>
      <dgm:spPr/>
      <dgm:t>
        <a:bodyPr/>
        <a:lstStyle/>
        <a:p>
          <a:endParaRPr lang="en-US"/>
        </a:p>
      </dgm:t>
    </dgm:pt>
    <dgm:pt modelId="{EBA05615-223F-4BE7-982E-A5BEDC9528C5}" type="pres">
      <dgm:prSet presAssocID="{675F3938-6851-42C0-8E99-CE708AFF9E9B}" presName="Name13" presStyleLbl="parChTrans1D2" presStyleIdx="30" presStyleCnt="31"/>
      <dgm:spPr/>
      <dgm:t>
        <a:bodyPr/>
        <a:lstStyle/>
        <a:p>
          <a:endParaRPr lang="en-US"/>
        </a:p>
      </dgm:t>
    </dgm:pt>
    <dgm:pt modelId="{5D564A99-7479-4729-9482-4A30945321DD}" type="pres">
      <dgm:prSet presAssocID="{DFE209FB-5164-4F26-9B30-01ECBD99F211}" presName="childText" presStyleLbl="bgAcc1" presStyleIdx="30" presStyleCnt="31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4FC4B7EF-4552-044E-8F06-CE66FF2C0211}" type="presOf" srcId="{68F4111B-7255-4AB4-832D-7FC6DD955F21}" destId="{7CAC45FF-F251-46E4-B4FD-423BD3A36E41}" srcOrd="0" destOrd="0" presId="urn:microsoft.com/office/officeart/2005/8/layout/hierarchy3"/>
    <dgm:cxn modelId="{DC7AA060-5BFA-5E4C-A2C5-E26143DC64A5}" type="presOf" srcId="{417E7999-DDE0-43BA-92B4-7FCB2DD2C24D}" destId="{FCE5A3B5-FB82-41E8-BAC3-C40DE9C0C13F}" srcOrd="0" destOrd="0" presId="urn:microsoft.com/office/officeart/2005/8/layout/hierarchy3"/>
    <dgm:cxn modelId="{4E15D69B-6508-3F44-B765-B21F8EF238CA}" type="presOf" srcId="{63909DF1-72DE-4CAC-A741-DD50D66932AA}" destId="{B7B23A35-C853-493E-B43B-362B1A81BCC3}" srcOrd="1" destOrd="0" presId="urn:microsoft.com/office/officeart/2005/8/layout/hierarchy3"/>
    <dgm:cxn modelId="{01FFC579-681D-1647-B71C-384B5CC5398A}" type="presOf" srcId="{F62F648C-E042-494E-8A6C-1341E84C4738}" destId="{72D9CE66-FC23-4CE2-9911-A873CE4C1563}" srcOrd="0" destOrd="0" presId="urn:microsoft.com/office/officeart/2005/8/layout/hierarchy3"/>
    <dgm:cxn modelId="{0E38C6DD-488C-4298-B10C-BEC86C59CED9}" srcId="{CBC30AC1-5119-4669-A78F-466CC246DC71}" destId="{6C16DE70-0958-457F-A3F1-BB8C9610A7D4}" srcOrd="0" destOrd="0" parTransId="{12A43E46-C762-4E09-BF73-1E959D8779CA}" sibTransId="{8687E6FA-6BC5-4C55-9DC3-8FFBA7559E9D}"/>
    <dgm:cxn modelId="{664786E6-51D3-2A4F-B5C8-4D8757A9E3B4}" type="presOf" srcId="{96A89688-ABA9-47DE-9DA2-2CBC221A4707}" destId="{61E948B0-C6D0-4DAA-829B-35030A9E03D9}" srcOrd="0" destOrd="0" presId="urn:microsoft.com/office/officeart/2005/8/layout/hierarchy3"/>
    <dgm:cxn modelId="{CFD6D5AE-B666-4496-BD76-FFBF38B72B3A}" srcId="{50B0FAAA-CD1A-4308-8C93-27C40C72DC4F}" destId="{417E7999-DDE0-43BA-92B4-7FCB2DD2C24D}" srcOrd="0" destOrd="0" parTransId="{CDC05BC0-4FBA-4537-829A-444271FBCFF6}" sibTransId="{5B6B0603-2271-4895-8807-043AC4157D75}"/>
    <dgm:cxn modelId="{E21AB244-B2F3-46B6-B8D5-B33EBC8349C4}" srcId="{9DDB6750-4836-4426-8F88-487E281B4F2A}" destId="{D38E2E20-9D09-41F4-A3D4-9E0B083ABEF5}" srcOrd="1" destOrd="0" parTransId="{043B53C1-522D-44A6-BB93-4309CBBB8A18}" sibTransId="{DE4D8D9B-5F0B-46FC-9167-4994106E0FCC}"/>
    <dgm:cxn modelId="{4F041CEB-BFA9-2640-9C36-2F8D03DE534C}" type="presOf" srcId="{0A800837-5C0D-46BB-8353-DFDA5D20F78D}" destId="{4E115F6E-13FF-4662-BBE0-5560E888DBB4}" srcOrd="0" destOrd="0" presId="urn:microsoft.com/office/officeart/2005/8/layout/hierarchy3"/>
    <dgm:cxn modelId="{F8C50962-615C-524C-8600-C3406E65409F}" type="presOf" srcId="{0C8168C1-1BC3-45E3-9957-156291D5E622}" destId="{41497001-F1C5-4CB3-B6C0-1A205DE55BE2}" srcOrd="0" destOrd="0" presId="urn:microsoft.com/office/officeart/2005/8/layout/hierarchy3"/>
    <dgm:cxn modelId="{986E32F0-5C48-9E4E-AA63-C175B0D378CF}" type="presOf" srcId="{B6D80DED-73A2-4D64-B2B7-DC6B8613B37E}" destId="{F2138B1E-B233-42C0-880B-42725F18062E}" srcOrd="0" destOrd="0" presId="urn:microsoft.com/office/officeart/2005/8/layout/hierarchy3"/>
    <dgm:cxn modelId="{B873324C-97A4-4DE4-951E-74AC17DAC9A9}" srcId="{1FC0E404-8AEE-43AD-926F-5F41FB720A35}" destId="{C1B46E97-8542-45D2-B26E-A109FACB82F3}" srcOrd="0" destOrd="0" parTransId="{04715AC7-63BC-41CA-99C0-161902D7736D}" sibTransId="{C730E6CC-00ED-452E-ADB7-1ACBAEC26091}"/>
    <dgm:cxn modelId="{9D67D226-07EE-AC45-85F2-A802C39B0CFC}" type="presOf" srcId="{D38E2E20-9D09-41F4-A3D4-9E0B083ABEF5}" destId="{617CFDC9-6D25-4A48-88F6-75C84F60799A}" srcOrd="0" destOrd="0" presId="urn:microsoft.com/office/officeart/2005/8/layout/hierarchy3"/>
    <dgm:cxn modelId="{A00270FE-6A21-CC47-BE3E-B185110B0DE2}" type="presOf" srcId="{81989AB4-55B4-439D-8AB9-03EF1714D3CE}" destId="{11039ABE-1C5B-45A2-A428-2E7D5CA17E49}" srcOrd="0" destOrd="0" presId="urn:microsoft.com/office/officeart/2005/8/layout/hierarchy3"/>
    <dgm:cxn modelId="{A48EF52E-3341-B447-A32D-12D69BBE065E}" type="presOf" srcId="{7B08E8B9-A7AF-4B1E-BF13-553FA40872B6}" destId="{B4166CF7-58A8-4440-B252-4EA8EA4B0CBE}" srcOrd="0" destOrd="0" presId="urn:microsoft.com/office/officeart/2005/8/layout/hierarchy3"/>
    <dgm:cxn modelId="{D279067F-E6F5-4A9B-AD96-F3617B15F2F5}" srcId="{FC0E08CC-7A84-4FA7-939A-4F489E8F25DB}" destId="{00EB5E46-E719-486B-B3EC-D8FCA550D413}" srcOrd="0" destOrd="0" parTransId="{4D89222A-A915-4DE0-8AD6-24BAAA07B4EC}" sibTransId="{A49B345C-575A-4245-85F5-C824A5A0037E}"/>
    <dgm:cxn modelId="{5E4FDDEC-5FEC-4056-BA74-BAFB95269E58}" srcId="{63909DF1-72DE-4CAC-A741-DD50D66932AA}" destId="{E3A2994E-7EAD-4244-B110-A391E3A64F93}" srcOrd="5" destOrd="0" parTransId="{398B32B1-B516-480B-99A3-F444BA8C0413}" sibTransId="{F9B4031A-4580-41D5-8395-0C07E876FDF1}"/>
    <dgm:cxn modelId="{DA3C9708-281E-4E27-AA0E-91BA3B7E7E5A}" srcId="{184121C5-7604-447E-9E80-FEA8A381872A}" destId="{DFE209FB-5164-4F26-9B30-01ECBD99F211}" srcOrd="0" destOrd="0" parTransId="{675F3938-6851-42C0-8E99-CE708AFF9E9B}" sibTransId="{8A71BDE5-DBC7-47EC-9AC3-07FB734741CD}"/>
    <dgm:cxn modelId="{B08D7F1F-827E-7C4C-9028-7F5F934BA4AD}" type="presOf" srcId="{7097E6C3-1CA9-4BE6-ABA5-381C2FA3E14A}" destId="{7EBAA92F-B826-4793-AF81-950B91B15261}" srcOrd="0" destOrd="0" presId="urn:microsoft.com/office/officeart/2005/8/layout/hierarchy3"/>
    <dgm:cxn modelId="{6E037860-B91E-1849-83AC-F4152E0B6E30}" type="presOf" srcId="{9A134661-A511-423D-BFC5-3BC0F76A8172}" destId="{CA4C5356-CCDA-49A4-B03E-6F5F92819E0D}" srcOrd="0" destOrd="0" presId="urn:microsoft.com/office/officeart/2005/8/layout/hierarchy3"/>
    <dgm:cxn modelId="{9012B1D6-AE9F-064C-B707-D7F6BA387853}" type="presOf" srcId="{C1B46E97-8542-45D2-B26E-A109FACB82F3}" destId="{8428846F-AB1D-4E49-8DB8-2A1865B5B5AD}" srcOrd="0" destOrd="0" presId="urn:microsoft.com/office/officeart/2005/8/layout/hierarchy3"/>
    <dgm:cxn modelId="{5EB764B1-2C92-46EC-9143-DC6786155669}" srcId="{FC0E08CC-7A84-4FA7-939A-4F489E8F25DB}" destId="{1FC0E404-8AEE-43AD-926F-5F41FB720A35}" srcOrd="7" destOrd="0" parTransId="{C0EDEAEE-BF0E-45FE-945D-C86B6D692FC0}" sibTransId="{5954FA93-043F-486F-B88F-0F40B7C03246}"/>
    <dgm:cxn modelId="{68B18259-D905-4983-A0B3-6B69C5DB7ABC}" srcId="{B6D80DED-73A2-4D64-B2B7-DC6B8613B37E}" destId="{D0BFAE95-6C42-47C2-9218-AF88A5154A13}" srcOrd="1" destOrd="0" parTransId="{DF3495EB-08BA-473F-92BF-BDA7156C0E06}" sibTransId="{916A7EA2-6B34-4C13-BCBC-E5355A6E103D}"/>
    <dgm:cxn modelId="{4BA18E5B-711E-0E47-B740-72E86F3BF130}" type="presOf" srcId="{16B6CE0F-22D6-48DB-BB7D-96AB7B0C9AF3}" destId="{1FE7916D-3A1B-4604-9399-79263E7834E2}" srcOrd="0" destOrd="0" presId="urn:microsoft.com/office/officeart/2005/8/layout/hierarchy3"/>
    <dgm:cxn modelId="{B99794D9-2F6E-4DF5-848F-9ACFBDDB5EBC}" srcId="{FC0E08CC-7A84-4FA7-939A-4F489E8F25DB}" destId="{387196D3-379C-43BE-804E-9DCA1909C704}" srcOrd="3" destOrd="0" parTransId="{329A982B-A50D-4679-BD2E-FBF616AD9192}" sibTransId="{F4E3B671-5048-46E3-8132-72EE168B7238}"/>
    <dgm:cxn modelId="{227039E3-56DA-41CE-9F57-A0C79CAF46D1}" srcId="{50B0FAAA-CD1A-4308-8C93-27C40C72DC4F}" destId="{96A89688-ABA9-47DE-9DA2-2CBC221A4707}" srcOrd="2" destOrd="0" parTransId="{046A1A90-E574-4546-A4DF-6306932248C8}" sibTransId="{3B5A81AD-DC4D-447E-85AD-756C0E38FFFD}"/>
    <dgm:cxn modelId="{316E91BF-5EF5-254E-83CC-0E92E955CFD7}" type="presOf" srcId="{CBC30AC1-5119-4669-A78F-466CC246DC71}" destId="{93CC07DE-9848-49C7-9054-17138797428B}" srcOrd="0" destOrd="0" presId="urn:microsoft.com/office/officeart/2005/8/layout/hierarchy3"/>
    <dgm:cxn modelId="{C746CA38-257B-46EF-927C-3A015124D798}" srcId="{CBC30AC1-5119-4669-A78F-466CC246DC71}" destId="{68F4111B-7255-4AB4-832D-7FC6DD955F21}" srcOrd="4" destOrd="0" parTransId="{1C6D5B49-CC9A-48BE-A928-821BB02A2602}" sibTransId="{0AF7585C-9AEB-418D-BE8E-2C441BE9042B}"/>
    <dgm:cxn modelId="{F9B610F2-2B8B-0E4E-9525-5BA808E1EB28}" type="presOf" srcId="{04715AC7-63BC-41CA-99C0-161902D7736D}" destId="{380DCD66-32ED-4293-99E3-672D133A68F5}" srcOrd="0" destOrd="0" presId="urn:microsoft.com/office/officeart/2005/8/layout/hierarchy3"/>
    <dgm:cxn modelId="{416F8A7D-F8BC-4B05-85C0-45D77CEA2DBC}" srcId="{63909DF1-72DE-4CAC-A741-DD50D66932AA}" destId="{8041A5CC-0570-465A-8FD4-6DF6CF1C7A90}" srcOrd="3" destOrd="0" parTransId="{964C6ACA-0F37-4052-85A3-DCF04DE65438}" sibTransId="{AD10002D-8B29-4EA0-8E65-9B9174B47ED0}"/>
    <dgm:cxn modelId="{1DF8AB0B-5B7B-8049-9691-F623C9964E2B}" type="presOf" srcId="{50B0FAAA-CD1A-4308-8C93-27C40C72DC4F}" destId="{D8F3A73D-B28C-4839-8B5F-18C00137D436}" srcOrd="1" destOrd="0" presId="urn:microsoft.com/office/officeart/2005/8/layout/hierarchy3"/>
    <dgm:cxn modelId="{1212D704-86E3-47FE-BCFB-D8ACF6F21D90}" srcId="{CBC30AC1-5119-4669-A78F-466CC246DC71}" destId="{405682F5-A2CF-4974-839C-22BB4A14E0D9}" srcOrd="3" destOrd="0" parTransId="{9A134661-A511-423D-BFC5-3BC0F76A8172}" sibTransId="{2A47710B-F2B8-45F5-BD50-5ABE88C841D2}"/>
    <dgm:cxn modelId="{764BC14E-DE8D-D74E-A5CD-334457FD01E6}" type="presOf" srcId="{D4542875-4A66-4C07-AC61-C9F43336C3E9}" destId="{54EBAAD0-183C-4E5E-9D83-60288DA02585}" srcOrd="0" destOrd="0" presId="urn:microsoft.com/office/officeart/2005/8/layout/hierarchy3"/>
    <dgm:cxn modelId="{42285C89-B3F2-AF4E-A8C9-561145F7440F}" type="presOf" srcId="{CBC30AC1-5119-4669-A78F-466CC246DC71}" destId="{AF6F0AD5-6B30-4096-9577-07F27DFCF092}" srcOrd="1" destOrd="0" presId="urn:microsoft.com/office/officeart/2005/8/layout/hierarchy3"/>
    <dgm:cxn modelId="{FC35AAC4-D395-4AC8-9AD1-AD380A1C0AD9}" type="presOf" srcId="{FC0E08CC-7A84-4FA7-939A-4F489E8F25DB}" destId="{97502FF2-5021-4864-83D2-9E880078C7CB}" srcOrd="0" destOrd="0" presId="urn:microsoft.com/office/officeart/2005/8/layout/hierarchy3"/>
    <dgm:cxn modelId="{6D4592A0-1EFB-4715-9A0D-756951DE6AF1}" srcId="{B6D80DED-73A2-4D64-B2B7-DC6B8613B37E}" destId="{0A800837-5C0D-46BB-8353-DFDA5D20F78D}" srcOrd="2" destOrd="0" parTransId="{7BC95BD0-0F61-4D20-85C6-029B4F2B38C2}" sibTransId="{4BECA5B4-DAE8-4812-90CD-C82407F2825E}"/>
    <dgm:cxn modelId="{5D6989C4-A55A-E740-9CA2-825B96F7D630}" type="presOf" srcId="{E2082F57-D81C-4ED8-A4AD-D4EE3F72C077}" destId="{F6F92AEB-BB2D-4612-A0CB-9B3ED62F30B5}" srcOrd="0" destOrd="0" presId="urn:microsoft.com/office/officeart/2005/8/layout/hierarchy3"/>
    <dgm:cxn modelId="{EFF67BAB-17BA-AD41-B544-F18D209792AA}" type="presOf" srcId="{4BA91959-9435-4242-8693-6AF3791300F0}" destId="{93A3DB23-E6F2-4CBA-94AE-54E596D6F022}" srcOrd="0" destOrd="0" presId="urn:microsoft.com/office/officeart/2005/8/layout/hierarchy3"/>
    <dgm:cxn modelId="{79F65D42-1437-4093-BFB7-96526094509E}" srcId="{50B0FAAA-CD1A-4308-8C93-27C40C72DC4F}" destId="{4D06E078-154F-44AE-BE23-D475810FB79D}" srcOrd="4" destOrd="0" parTransId="{7B08E8B9-A7AF-4B1E-BF13-553FA40872B6}" sibTransId="{0A4A009E-2FD4-48D4-A7E5-332035043C8B}"/>
    <dgm:cxn modelId="{4DC219BF-C6DE-9F4B-AA9E-83129EC57B0E}" type="presOf" srcId="{68CAA5DD-FA49-44B1-A46D-816B45E29E1E}" destId="{E125A7DB-F70A-43F1-A53A-40D2441EDA38}" srcOrd="0" destOrd="0" presId="urn:microsoft.com/office/officeart/2005/8/layout/hierarchy3"/>
    <dgm:cxn modelId="{BD786EA7-74FE-7540-B1C3-1A03C3B79588}" type="presOf" srcId="{50B0FAAA-CD1A-4308-8C93-27C40C72DC4F}" destId="{21E3A2C0-39A1-451C-B542-C94F410EE2BC}" srcOrd="0" destOrd="0" presId="urn:microsoft.com/office/officeart/2005/8/layout/hierarchy3"/>
    <dgm:cxn modelId="{3C5773C1-A6BC-4443-8F5C-7F2DC0CCD536}" type="presOf" srcId="{A4AB2DFB-7D8B-47F8-8099-2E5C467558DB}" destId="{B453E302-B740-4279-95AD-CC39B13FF5FC}" srcOrd="0" destOrd="0" presId="urn:microsoft.com/office/officeart/2005/8/layout/hierarchy3"/>
    <dgm:cxn modelId="{08185867-F88C-6D4F-B65F-22A7A6ED1B37}" type="presOf" srcId="{AD7A7165-8E7B-4733-B8B5-8FBCCE27088E}" destId="{9E83BECD-D4CE-4BCC-B0F6-5FE6ECF8BEAB}" srcOrd="0" destOrd="0" presId="urn:microsoft.com/office/officeart/2005/8/layout/hierarchy3"/>
    <dgm:cxn modelId="{20EA764F-5464-4987-A477-A0F00A34F4CD}" srcId="{50B0FAAA-CD1A-4308-8C93-27C40C72DC4F}" destId="{54BB561F-C1AA-4D1B-B8E6-719E0B5B4413}" srcOrd="1" destOrd="0" parTransId="{4BA91959-9435-4242-8693-6AF3791300F0}" sibTransId="{E199ABA7-6458-4776-A9EB-6241A051D6A7}"/>
    <dgm:cxn modelId="{20F7CEE3-3366-2549-BFF3-96E0B4F5F50F}" type="presOf" srcId="{046A1A90-E574-4546-A4DF-6306932248C8}" destId="{D0600A31-1859-46B5-97C9-946A4F32DC32}" srcOrd="0" destOrd="0" presId="urn:microsoft.com/office/officeart/2005/8/layout/hierarchy3"/>
    <dgm:cxn modelId="{8FE68CAF-0959-A943-9B10-C4CE81A189E1}" type="presOf" srcId="{D0BFAE95-6C42-47C2-9218-AF88A5154A13}" destId="{39738A6D-5E0D-458D-AF43-A6186DE73456}" srcOrd="0" destOrd="0" presId="urn:microsoft.com/office/officeart/2005/8/layout/hierarchy3"/>
    <dgm:cxn modelId="{56A93619-825A-AD47-BDA8-0C2816BA47B7}" type="presOf" srcId="{9DDB6750-4836-4426-8F88-487E281B4F2A}" destId="{401DE52C-705B-4F0F-A965-041A99AC8596}" srcOrd="0" destOrd="0" presId="urn:microsoft.com/office/officeart/2005/8/layout/hierarchy3"/>
    <dgm:cxn modelId="{0D7C264F-DE0D-9F44-8497-AFB648A0D861}" type="presOf" srcId="{387196D3-379C-43BE-804E-9DCA1909C704}" destId="{A95604F1-E549-41CC-813D-EC83B1ECBE69}" srcOrd="0" destOrd="0" presId="urn:microsoft.com/office/officeart/2005/8/layout/hierarchy3"/>
    <dgm:cxn modelId="{A1C89864-C749-4FA3-B9CA-85C580276F47}" srcId="{387196D3-379C-43BE-804E-9DCA1909C704}" destId="{995553E2-3F48-49C9-A2B6-9F32C0D67F29}" srcOrd="2" destOrd="0" parTransId="{E2082F57-D81C-4ED8-A4AD-D4EE3F72C077}" sibTransId="{0EA4E08D-0871-4B4B-9F8F-F95AE51F148C}"/>
    <dgm:cxn modelId="{15DDA554-5C22-244E-B09A-529C7428D7D8}" type="presOf" srcId="{92F3429E-84CA-4AA4-92D9-FA316B6E87EE}" destId="{200168A9-0A8B-4F51-AE13-0AF9EC3500DF}" srcOrd="0" destOrd="0" presId="urn:microsoft.com/office/officeart/2005/8/layout/hierarchy3"/>
    <dgm:cxn modelId="{38D38D1D-752C-430F-979C-C14FE340ABDE}" srcId="{63909DF1-72DE-4CAC-A741-DD50D66932AA}" destId="{9A80B4E2-78E6-4681-9869-DFDE5DDA3658}" srcOrd="2" destOrd="0" parTransId="{4F9065C7-51A6-4E03-95BF-C4B733A5D43C}" sibTransId="{8522EA56-6070-494F-9E2C-99C6ED975F6F}"/>
    <dgm:cxn modelId="{58A2F09B-FCE9-B548-BABC-A9CCC40436C6}" type="presOf" srcId="{54BB561F-C1AA-4D1B-B8E6-719E0B5B4413}" destId="{EF518F7B-F206-466D-B3B6-2B119E2CACCC}" srcOrd="0" destOrd="0" presId="urn:microsoft.com/office/officeart/2005/8/layout/hierarchy3"/>
    <dgm:cxn modelId="{97B23450-94F9-A546-ACA3-C0E25889754A}" type="presOf" srcId="{E270EB53-921D-48F0-8BCD-BB2B6AFA0AED}" destId="{F5B47F16-DC93-4910-9129-12971E7101ED}" srcOrd="0" destOrd="0" presId="urn:microsoft.com/office/officeart/2005/8/layout/hierarchy3"/>
    <dgm:cxn modelId="{B22591D4-E665-1C48-97B0-4891D397D497}" type="presOf" srcId="{405682F5-A2CF-4974-839C-22BB4A14E0D9}" destId="{6A647378-2E26-4337-B2E2-DD52A3275FE3}" srcOrd="0" destOrd="0" presId="urn:microsoft.com/office/officeart/2005/8/layout/hierarchy3"/>
    <dgm:cxn modelId="{A9F1B473-0772-3E42-8DAE-4735F629E42E}" type="presOf" srcId="{2886D5B9-9CB3-4B43-B59E-80C35AB953B6}" destId="{AB55C7DB-72B2-45CC-811A-DFC7FF689F7E}" srcOrd="0" destOrd="0" presId="urn:microsoft.com/office/officeart/2005/8/layout/hierarchy3"/>
    <dgm:cxn modelId="{BD36F088-49AE-3C4C-856C-72460FD84254}" type="presOf" srcId="{83311B6B-EDAC-4BFF-83D9-A020BB7241A7}" destId="{1000B667-64DD-404D-B1B1-C2324CD4DEDA}" srcOrd="0" destOrd="0" presId="urn:microsoft.com/office/officeart/2005/8/layout/hierarchy3"/>
    <dgm:cxn modelId="{C78E2EA5-331D-4514-B147-928A91FB8BB6}" srcId="{B6D80DED-73A2-4D64-B2B7-DC6B8613B37E}" destId="{E270EB53-921D-48F0-8BCD-BB2B6AFA0AED}" srcOrd="0" destOrd="0" parTransId="{A4AB2DFB-7D8B-47F8-8099-2E5C467558DB}" sibTransId="{2FA92113-1DEE-417A-97F8-53EC2A1FF5C5}"/>
    <dgm:cxn modelId="{E8A10A95-8C9A-4138-A2C8-A6F58F7CD0D4}" srcId="{CBC30AC1-5119-4669-A78F-466CC246DC71}" destId="{694D3CA8-DF2F-467E-BF31-4473461ED72F}" srcOrd="2" destOrd="0" parTransId="{A23D85E1-68EE-4B07-A0F0-904508AE97CE}" sibTransId="{40BD1EDF-79FE-4E5D-8EDF-C3C92EAD4F67}"/>
    <dgm:cxn modelId="{11C6F198-F5A2-4D49-9D59-689BE2320408}" type="presOf" srcId="{722489FF-B0EE-4674-972F-7BA81487BBD1}" destId="{7630F261-8DF1-4D19-AB5E-8A9B0055A06A}" srcOrd="0" destOrd="0" presId="urn:microsoft.com/office/officeart/2005/8/layout/hierarchy3"/>
    <dgm:cxn modelId="{F940CFA7-AD2E-3944-959C-47966F33FA15}" type="presOf" srcId="{9DDB6750-4836-4426-8F88-487E281B4F2A}" destId="{B39A4BBE-9A19-495A-84A5-24370B493E34}" srcOrd="1" destOrd="0" presId="urn:microsoft.com/office/officeart/2005/8/layout/hierarchy3"/>
    <dgm:cxn modelId="{70A042E1-15C9-5148-9ECD-386E75B44473}" type="presOf" srcId="{F1940A35-D589-498E-9C8C-4077BE5F8AF1}" destId="{D77D92BE-30F7-4CA8-AB1C-B6B03EAE682C}" srcOrd="0" destOrd="0" presId="urn:microsoft.com/office/officeart/2005/8/layout/hierarchy3"/>
    <dgm:cxn modelId="{EEA0B153-01DB-3E40-BA85-D49621ADDC81}" type="presOf" srcId="{398B32B1-B516-480B-99A3-F444BA8C0413}" destId="{9BCD9BDA-3C6D-44FE-97E7-496085F0ADC3}" srcOrd="0" destOrd="0" presId="urn:microsoft.com/office/officeart/2005/8/layout/hierarchy3"/>
    <dgm:cxn modelId="{55FF6EFD-D670-054C-AC4C-C3BD8FBDE01C}" type="presOf" srcId="{4F9065C7-51A6-4E03-95BF-C4B733A5D43C}" destId="{27CC5BA7-7A07-4427-BBC1-46F0A3372297}" srcOrd="0" destOrd="0" presId="urn:microsoft.com/office/officeart/2005/8/layout/hierarchy3"/>
    <dgm:cxn modelId="{9B9B22B6-C933-9F4F-B4CA-FE213E7A618F}" type="presOf" srcId="{D54D9019-632A-431A-A736-C7CF12E96EE9}" destId="{21689643-EA09-4D18-BB56-22440C0136A5}" srcOrd="0" destOrd="0" presId="urn:microsoft.com/office/officeart/2005/8/layout/hierarchy3"/>
    <dgm:cxn modelId="{99FF4FCD-F610-484A-8AF7-76163C16A411}" type="presOf" srcId="{4EBB08B8-BCB1-463F-B508-D0F8FF4F742D}" destId="{534676F9-F213-4599-B213-AADC63F28215}" srcOrd="0" destOrd="0" presId="urn:microsoft.com/office/officeart/2005/8/layout/hierarchy3"/>
    <dgm:cxn modelId="{5CEDD052-2274-924D-88B7-BDD58B3C5B20}" type="presOf" srcId="{675F3938-6851-42C0-8E99-CE708AFF9E9B}" destId="{EBA05615-223F-4BE7-982E-A5BEDC9528C5}" srcOrd="0" destOrd="0" presId="urn:microsoft.com/office/officeart/2005/8/layout/hierarchy3"/>
    <dgm:cxn modelId="{4A6FA777-A1F3-4FDA-9EE2-368F95BB6B1B}" srcId="{387196D3-379C-43BE-804E-9DCA1909C704}" destId="{EBADBFB6-B87A-4AB8-BDDA-B030F2740B84}" srcOrd="1" destOrd="0" parTransId="{F1940A35-D589-498E-9C8C-4077BE5F8AF1}" sibTransId="{551FBF7E-F1BA-4EAA-8551-4690BCEFF3A7}"/>
    <dgm:cxn modelId="{D7D4845B-C64A-4911-834B-4EB6DD5548D5}" srcId="{FC0E08CC-7A84-4FA7-939A-4F489E8F25DB}" destId="{B6D80DED-73A2-4D64-B2B7-DC6B8613B37E}" srcOrd="1" destOrd="0" parTransId="{5FA39488-ADF7-4DC0-9FE9-A990C0AE2881}" sibTransId="{3ED259CF-A3D1-4093-A677-8548B4DACF0F}"/>
    <dgm:cxn modelId="{42338F15-E5EE-49AC-928B-42C725ECAD21}" srcId="{63909DF1-72DE-4CAC-A741-DD50D66932AA}" destId="{2886D5B9-9CB3-4B43-B59E-80C35AB953B6}" srcOrd="4" destOrd="0" parTransId="{EF0A6EF6-E6E6-4BA3-992B-35251C04D80C}" sibTransId="{752C94DE-29B0-49CE-BF8A-05A326FFC041}"/>
    <dgm:cxn modelId="{AC24FDE8-F121-478D-BB70-BAD3890885DA}" srcId="{FC0E08CC-7A84-4FA7-939A-4F489E8F25DB}" destId="{9DDB6750-4836-4426-8F88-487E281B4F2A}" srcOrd="4" destOrd="0" parTransId="{F0215990-348E-486D-8F9D-D5AA35E37000}" sibTransId="{2BF87A36-B69B-4272-B14C-D0B15544A977}"/>
    <dgm:cxn modelId="{4241E11E-B9DF-0F4E-989E-E4FFE30D83F6}" type="presOf" srcId="{184121C5-7604-447E-9E80-FEA8A381872A}" destId="{4DDAEDF3-953A-4F0A-82BF-4BC7926D6326}" srcOrd="1" destOrd="0" presId="urn:microsoft.com/office/officeart/2005/8/layout/hierarchy3"/>
    <dgm:cxn modelId="{B73B7557-933B-1F48-881D-C08E33F3F87E}" type="presOf" srcId="{63909DF1-72DE-4CAC-A741-DD50D66932AA}" destId="{54D08467-B7BA-4C54-B9FD-66B167D62073}" srcOrd="0" destOrd="0" presId="urn:microsoft.com/office/officeart/2005/8/layout/hierarchy3"/>
    <dgm:cxn modelId="{5E1753FA-3610-4904-B568-3A8616643197}" srcId="{FC0E08CC-7A84-4FA7-939A-4F489E8F25DB}" destId="{63909DF1-72DE-4CAC-A741-DD50D66932AA}" srcOrd="2" destOrd="0" parTransId="{71FF0292-3808-4C1A-8D69-32BB34A16435}" sibTransId="{89891790-9F5E-4B7A-93DB-3EFEF894A0FE}"/>
    <dgm:cxn modelId="{7EAD5658-49F0-421C-A415-3795F3035821}" srcId="{9DDB6750-4836-4426-8F88-487E281B4F2A}" destId="{51E42CD3-3279-43CE-A82F-8A249A6FBF44}" srcOrd="0" destOrd="0" parTransId="{68CAA5DD-FA49-44B1-A46D-816B45E29E1E}" sibTransId="{D9089EB2-55F7-4892-9216-0DFD8186A998}"/>
    <dgm:cxn modelId="{6FC41C91-20DA-614F-BEC5-9FDAFF3B8F91}" type="presOf" srcId="{EF0A6EF6-E6E6-4BA3-992B-35251C04D80C}" destId="{831489EC-1E5D-487C-A4CC-4E6B1CA7FDB9}" srcOrd="0" destOrd="0" presId="urn:microsoft.com/office/officeart/2005/8/layout/hierarchy3"/>
    <dgm:cxn modelId="{DCFD2A90-9996-0F41-B014-3C50C486134C}" type="presOf" srcId="{C1B43A39-BAA5-4977-BCAB-80333E6BBAFB}" destId="{6CC8219A-A0AB-435D-BBC9-69BE7317238F}" srcOrd="0" destOrd="0" presId="urn:microsoft.com/office/officeart/2005/8/layout/hierarchy3"/>
    <dgm:cxn modelId="{AF513950-FE45-4A8C-8261-3EF513D95099}" srcId="{63909DF1-72DE-4CAC-A741-DD50D66932AA}" destId="{F62F648C-E042-494E-8A6C-1341E84C4738}" srcOrd="0" destOrd="0" parTransId="{4EBB08B8-BCB1-463F-B508-D0F8FF4F742D}" sibTransId="{588CA33A-F68C-4312-AD6F-57BE502E5082}"/>
    <dgm:cxn modelId="{218B157D-C8BE-4A45-98D2-761AEFCDF61B}" srcId="{CBC30AC1-5119-4669-A78F-466CC246DC71}" destId="{D54D9019-632A-431A-A736-C7CF12E96EE9}" srcOrd="1" destOrd="0" parTransId="{B6E70952-AC11-4F38-9990-320BF0B28610}" sibTransId="{521A29EB-94EE-4008-AE44-22FE316EBD6D}"/>
    <dgm:cxn modelId="{58A1306C-8C84-AE45-A462-F3CCC03F67FE}" type="presOf" srcId="{B6E70952-AC11-4F38-9990-320BF0B28610}" destId="{6C9D44BE-410C-4603-B476-29D156538DFB}" srcOrd="0" destOrd="0" presId="urn:microsoft.com/office/officeart/2005/8/layout/hierarchy3"/>
    <dgm:cxn modelId="{52FF3083-DF25-2B46-B5C5-1AD796CA71AD}" type="presOf" srcId="{12A43E46-C762-4E09-BF73-1E959D8779CA}" destId="{4E434111-071E-44A6-92E2-FF73501C15DD}" srcOrd="0" destOrd="0" presId="urn:microsoft.com/office/officeart/2005/8/layout/hierarchy3"/>
    <dgm:cxn modelId="{15265F73-55C0-5A47-9E03-7B6BE828C0D1}" type="presOf" srcId="{EBADBFB6-B87A-4AB8-BDDA-B030F2740B84}" destId="{BD1F80D1-C1DC-4999-A6DC-9663DE8F5A88}" srcOrd="0" destOrd="0" presId="urn:microsoft.com/office/officeart/2005/8/layout/hierarchy3"/>
    <dgm:cxn modelId="{870EDA38-358C-514A-ADAA-CE469357E527}" type="presOf" srcId="{4D06E078-154F-44AE-BE23-D475810FB79D}" destId="{3C29ABEF-705B-40F5-B102-844137FE69B2}" srcOrd="0" destOrd="0" presId="urn:microsoft.com/office/officeart/2005/8/layout/hierarchy3"/>
    <dgm:cxn modelId="{33EA4D93-18CF-A04E-9BDC-F728F29DC211}" type="presOf" srcId="{00EB5E46-E719-486B-B3EC-D8FCA550D413}" destId="{E3C0AC98-AD6A-4180-AF38-63DA97C48EA9}" srcOrd="1" destOrd="0" presId="urn:microsoft.com/office/officeart/2005/8/layout/hierarchy3"/>
    <dgm:cxn modelId="{78EC6A82-0BF9-524D-BB61-5017660A2A3F}" type="presOf" srcId="{A23D85E1-68EE-4B07-A0F0-904508AE97CE}" destId="{08E012A8-6989-4719-87F4-B5232A699E16}" srcOrd="0" destOrd="0" presId="urn:microsoft.com/office/officeart/2005/8/layout/hierarchy3"/>
    <dgm:cxn modelId="{AB74BEA9-7C21-4F10-ADE6-554BD8D8A655}" srcId="{63909DF1-72DE-4CAC-A741-DD50D66932AA}" destId="{7097E6C3-1CA9-4BE6-ABA5-381C2FA3E14A}" srcOrd="7" destOrd="0" parTransId="{C1B43A39-BAA5-4977-BCAB-80333E6BBAFB}" sibTransId="{02AF030D-0A24-4FE2-9AEC-7A6B4EBD9B95}"/>
    <dgm:cxn modelId="{CA2E201F-BDAD-5C46-9BC0-CE368BB594C2}" type="presOf" srcId="{1FC0E404-8AEE-43AD-926F-5F41FB720A35}" destId="{753A2E17-2A98-415C-9953-0A6F35421146}" srcOrd="1" destOrd="0" presId="urn:microsoft.com/office/officeart/2005/8/layout/hierarchy3"/>
    <dgm:cxn modelId="{75C0EF15-1A64-854B-B851-545CF8CCE880}" type="presOf" srcId="{9A80B4E2-78E6-4681-9869-DFDE5DDA3658}" destId="{CE4B9D8F-E40F-47FB-A3A2-5A3E4024EDDC}" srcOrd="0" destOrd="0" presId="urn:microsoft.com/office/officeart/2005/8/layout/hierarchy3"/>
    <dgm:cxn modelId="{1A47A284-CFBC-AF4E-98A7-1519AEB3D467}" type="presOf" srcId="{51E42CD3-3279-43CE-A82F-8A249A6FBF44}" destId="{2476410F-3D33-40F8-8507-61F3E60FC2A9}" srcOrd="0" destOrd="0" presId="urn:microsoft.com/office/officeart/2005/8/layout/hierarchy3"/>
    <dgm:cxn modelId="{D2EA2AD5-A27D-2045-AF3B-ADAE38DFFD18}" type="presOf" srcId="{8041A5CC-0570-465A-8FD4-6DF6CF1C7A90}" destId="{5ACB63D1-E1F4-4F3A-B2C4-99FBA26AD595}" srcOrd="0" destOrd="0" presId="urn:microsoft.com/office/officeart/2005/8/layout/hierarchy3"/>
    <dgm:cxn modelId="{B325F5E4-B5AD-460A-966A-D56A01E560BE}" srcId="{FC0E08CC-7A84-4FA7-939A-4F489E8F25DB}" destId="{CBC30AC1-5119-4669-A78F-466CC246DC71}" srcOrd="5" destOrd="0" parTransId="{DC3D7346-F7D7-43F5-BC83-90CB6C5CA045}" sibTransId="{AEAA02B6-4DFB-49EE-88C5-55A743BECEA8}"/>
    <dgm:cxn modelId="{5A24239B-9AB8-4735-B8A7-3C218634A3D5}" srcId="{FC0E08CC-7A84-4FA7-939A-4F489E8F25DB}" destId="{184121C5-7604-447E-9E80-FEA8A381872A}" srcOrd="8" destOrd="0" parTransId="{8B4656C3-E046-48D7-BBC5-93F72C9E7D35}" sibTransId="{DB2A51AF-7ABB-4696-B43E-F763B3633A17}"/>
    <dgm:cxn modelId="{C4CD3AFF-CE90-364B-A970-F8148E1EE61C}" type="presOf" srcId="{387196D3-379C-43BE-804E-9DCA1909C704}" destId="{123704D1-B565-41DD-B4AC-07492CBE8C6C}" srcOrd="1" destOrd="0" presId="urn:microsoft.com/office/officeart/2005/8/layout/hierarchy3"/>
    <dgm:cxn modelId="{F2195F12-68B7-C348-8FBE-49FCF58B2352}" type="presOf" srcId="{CDC05BC0-4FBA-4537-829A-444271FBCFF6}" destId="{E3510D3B-C18B-41CD-8901-9FF8286B3654}" srcOrd="0" destOrd="0" presId="urn:microsoft.com/office/officeart/2005/8/layout/hierarchy3"/>
    <dgm:cxn modelId="{87B9C63A-7306-D341-9992-C45B213AF36B}" type="presOf" srcId="{D93B6838-D664-4A55-B7B2-5F5E8129342D}" destId="{376ED340-0CBB-46B6-915B-367ABFE16863}" srcOrd="0" destOrd="0" presId="urn:microsoft.com/office/officeart/2005/8/layout/hierarchy3"/>
    <dgm:cxn modelId="{2475DD82-9F0C-994C-8B24-512828E77F8D}" type="presOf" srcId="{184121C5-7604-447E-9E80-FEA8A381872A}" destId="{D0163565-5814-434C-BC8F-DCAE04A5BAEA}" srcOrd="0" destOrd="0" presId="urn:microsoft.com/office/officeart/2005/8/layout/hierarchy3"/>
    <dgm:cxn modelId="{4C1D0E28-BD75-DE4B-91E6-3DC34A44EA1F}" type="presOf" srcId="{DF3495EB-08BA-473F-92BF-BDA7156C0E06}" destId="{38FEB66F-4598-49C6-B8FA-777D8D6DF8DD}" srcOrd="0" destOrd="0" presId="urn:microsoft.com/office/officeart/2005/8/layout/hierarchy3"/>
    <dgm:cxn modelId="{DB5C7C46-0C3A-894E-911F-6FFAF5377E1B}" type="presOf" srcId="{995553E2-3F48-49C9-A2B6-9F32C0D67F29}" destId="{997D1731-12F1-4A53-96B8-4FD5A9CD15F2}" srcOrd="0" destOrd="0" presId="urn:microsoft.com/office/officeart/2005/8/layout/hierarchy3"/>
    <dgm:cxn modelId="{94423F2B-B241-A544-A7B2-E7A5AE3E4EAA}" type="presOf" srcId="{694D3CA8-DF2F-467E-BF31-4473461ED72F}" destId="{62886DF6-8549-4B0E-9D9D-251E80E1CBDD}" srcOrd="0" destOrd="0" presId="urn:microsoft.com/office/officeart/2005/8/layout/hierarchy3"/>
    <dgm:cxn modelId="{3F7F0DA8-7AB8-4378-A3FB-52DDFE681FCD}" srcId="{387196D3-379C-43BE-804E-9DCA1909C704}" destId="{C609C46E-BBF4-485F-8F64-A3DBC0420105}" srcOrd="0" destOrd="0" parTransId="{D93B6838-D664-4A55-B7B2-5F5E8129342D}" sibTransId="{BA2FAB08-9E35-4CAA-8D27-526A0F52FC80}"/>
    <dgm:cxn modelId="{15320148-9DCA-4D16-A8ED-EA574CF5CB5D}" srcId="{FC0E08CC-7A84-4FA7-939A-4F489E8F25DB}" destId="{50B0FAAA-CD1A-4308-8C93-27C40C72DC4F}" srcOrd="6" destOrd="0" parTransId="{22967286-5093-44E3-B750-CF3730012DEC}" sibTransId="{79D693B6-92DF-4B0D-9F9C-D3DBF433D16D}"/>
    <dgm:cxn modelId="{0260C57B-7DC5-4964-9FD4-7EDF70A50959}" srcId="{63909DF1-72DE-4CAC-A741-DD50D66932AA}" destId="{81989AB4-55B4-439D-8AB9-03EF1714D3CE}" srcOrd="8" destOrd="0" parTransId="{0A8CA9B0-3903-4A59-9027-CC2B09483B9D}" sibTransId="{1C55F1A6-BE14-4B2C-B779-4CB124909F82}"/>
    <dgm:cxn modelId="{90572BB2-751A-9F4B-8283-227E6B11EB6D}" type="presOf" srcId="{043B53C1-522D-44A6-BB93-4309CBBB8A18}" destId="{2699F7E5-EB01-4966-AEC6-6E15D6D578E5}" srcOrd="0" destOrd="0" presId="urn:microsoft.com/office/officeart/2005/8/layout/hierarchy3"/>
    <dgm:cxn modelId="{3FAC76F6-DB6B-44DB-8723-0B9396B854E1}" srcId="{63909DF1-72DE-4CAC-A741-DD50D66932AA}" destId="{07D60D36-C8D6-4024-B667-65F558C1FCDC}" srcOrd="1" destOrd="0" parTransId="{D4542875-4A66-4C07-AC61-C9F43336C3E9}" sibTransId="{A4E4F18D-EA16-4713-9C6A-D38A6ED0F02E}"/>
    <dgm:cxn modelId="{56C22160-68FE-CB4C-A220-37D05EB4D583}" type="presOf" srcId="{07D60D36-C8D6-4024-B667-65F558C1FCDC}" destId="{F89F9FFA-B547-4961-8DDB-36AC629C36D5}" srcOrd="0" destOrd="0" presId="urn:microsoft.com/office/officeart/2005/8/layout/hierarchy3"/>
    <dgm:cxn modelId="{AB01B5A4-B13E-514A-978E-337D04C6E892}" type="presOf" srcId="{C609C46E-BBF4-485F-8F64-A3DBC0420105}" destId="{31283B55-727E-4E27-87BB-74B95C51B723}" srcOrd="0" destOrd="0" presId="urn:microsoft.com/office/officeart/2005/8/layout/hierarchy3"/>
    <dgm:cxn modelId="{2109A28F-B3C3-2F45-9126-D39CC50FE91C}" type="presOf" srcId="{6C16DE70-0958-457F-A3F1-BB8C9610A7D4}" destId="{459DB949-60CC-443F-9A3C-4107D91683D5}" srcOrd="0" destOrd="0" presId="urn:microsoft.com/office/officeart/2005/8/layout/hierarchy3"/>
    <dgm:cxn modelId="{51B07901-A0B8-6743-9234-60D98C2E3B9A}" type="presOf" srcId="{DFE209FB-5164-4F26-9B30-01ECBD99F211}" destId="{5D564A99-7479-4729-9482-4A30945321DD}" srcOrd="0" destOrd="0" presId="urn:microsoft.com/office/officeart/2005/8/layout/hierarchy3"/>
    <dgm:cxn modelId="{37F0340A-D59E-4C27-BF01-80A98CE121AD}" srcId="{50B0FAAA-CD1A-4308-8C93-27C40C72DC4F}" destId="{9AD31366-5087-4DFC-8B40-F2B2AB51E8F0}" srcOrd="3" destOrd="0" parTransId="{12EE336C-CFBF-47C8-8437-D448A5CAEA6D}" sibTransId="{4F2C0929-2589-4335-9346-5DCFE9C7C3C5}"/>
    <dgm:cxn modelId="{B5EE3A12-48E5-294C-A092-AF379080362F}" type="presOf" srcId="{1C6D5B49-CC9A-48BE-A928-821BB02A2602}" destId="{0D1AEEDD-807B-481D-9EE8-266C73486F04}" srcOrd="0" destOrd="0" presId="urn:microsoft.com/office/officeart/2005/8/layout/hierarchy3"/>
    <dgm:cxn modelId="{53603E37-3D5C-8849-B2D4-F6ED29B88470}" type="presOf" srcId="{0A8CA9B0-3903-4A59-9027-CC2B09483B9D}" destId="{610DD603-59BB-4ECB-94FB-00A1271D6405}" srcOrd="0" destOrd="0" presId="urn:microsoft.com/office/officeart/2005/8/layout/hierarchy3"/>
    <dgm:cxn modelId="{341EE1DC-544F-6F44-8198-B45AF6DA7916}" type="presOf" srcId="{7BC95BD0-0F61-4D20-85C6-029B4F2B38C2}" destId="{9DF463F1-73EB-4311-97B4-5AA86D2426FB}" srcOrd="0" destOrd="0" presId="urn:microsoft.com/office/officeart/2005/8/layout/hierarchy3"/>
    <dgm:cxn modelId="{198932E3-AE6A-4FFB-86AE-B1E9A2DA1390}" srcId="{00EB5E46-E719-486B-B3EC-D8FCA550D413}" destId="{AD7A7165-8E7B-4733-B8B5-8FBCCE27088E}" srcOrd="0" destOrd="0" parTransId="{722489FF-B0EE-4674-972F-7BA81487BBD1}" sibTransId="{E5F076A6-D6F4-465C-97EC-839F67FC3750}"/>
    <dgm:cxn modelId="{7515FC39-5582-8544-BC80-A211E3444881}" type="presOf" srcId="{1FC0E404-8AEE-43AD-926F-5F41FB720A35}" destId="{0E5BAF8B-E9E8-4A1C-B338-69713C013FC2}" srcOrd="0" destOrd="0" presId="urn:microsoft.com/office/officeart/2005/8/layout/hierarchy3"/>
    <dgm:cxn modelId="{53415D04-2380-1E46-97A2-3F2402C1626A}" type="presOf" srcId="{9AD31366-5087-4DFC-8B40-F2B2AB51E8F0}" destId="{0C7C3F92-670F-4119-BFF9-C4C27328014C}" srcOrd="0" destOrd="0" presId="urn:microsoft.com/office/officeart/2005/8/layout/hierarchy3"/>
    <dgm:cxn modelId="{6FA674B7-89C1-47AE-9424-C8C59D6796E2}" srcId="{CBC30AC1-5119-4669-A78F-466CC246DC71}" destId="{0C8168C1-1BC3-45E3-9957-156291D5E622}" srcOrd="5" destOrd="0" parTransId="{92F3429E-84CA-4AA4-92D9-FA316B6E87EE}" sibTransId="{5E77F22C-A938-460A-8BC0-C80741141F15}"/>
    <dgm:cxn modelId="{CB492465-A076-9C48-9A58-27E6AF2D3BF6}" type="presOf" srcId="{964C6ACA-0F37-4052-85A3-DCF04DE65438}" destId="{413FD201-644E-4052-B2E3-337F37B795AF}" srcOrd="0" destOrd="0" presId="urn:microsoft.com/office/officeart/2005/8/layout/hierarchy3"/>
    <dgm:cxn modelId="{CA08371F-51E6-394C-B125-3576B64F61F8}" type="presOf" srcId="{00EB5E46-E719-486B-B3EC-D8FCA550D413}" destId="{19D82C40-1E26-4D07-BBCB-17012AD2558D}" srcOrd="0" destOrd="0" presId="urn:microsoft.com/office/officeart/2005/8/layout/hierarchy3"/>
    <dgm:cxn modelId="{4EB4D53F-FEF5-401A-9189-D3EE794947B8}" srcId="{63909DF1-72DE-4CAC-A741-DD50D66932AA}" destId="{83311B6B-EDAC-4BFF-83D9-A020BB7241A7}" srcOrd="6" destOrd="0" parTransId="{16B6CE0F-22D6-48DB-BB7D-96AB7B0C9AF3}" sibTransId="{92996498-ABE1-45C4-AB65-BEF2771A6A19}"/>
    <dgm:cxn modelId="{5B08915B-2BB3-5440-B734-B9039F688291}" type="presOf" srcId="{E3A2994E-7EAD-4244-B110-A391E3A64F93}" destId="{8E098660-988D-4E9E-8AA7-FAA9CDA911CF}" srcOrd="0" destOrd="0" presId="urn:microsoft.com/office/officeart/2005/8/layout/hierarchy3"/>
    <dgm:cxn modelId="{3B4C9C3D-2D6E-6248-AA64-D4C00693734B}" type="presOf" srcId="{12EE336C-CFBF-47C8-8437-D448A5CAEA6D}" destId="{548D9CFA-7F2D-45CE-B06E-0CA1D49DA920}" srcOrd="0" destOrd="0" presId="urn:microsoft.com/office/officeart/2005/8/layout/hierarchy3"/>
    <dgm:cxn modelId="{E2F533C1-9CED-984C-B08C-242C5E72ABBF}" type="presOf" srcId="{B6D80DED-73A2-4D64-B2B7-DC6B8613B37E}" destId="{F87391BD-EDD6-4AE1-A373-830547F23BFA}" srcOrd="1" destOrd="0" presId="urn:microsoft.com/office/officeart/2005/8/layout/hierarchy3"/>
    <dgm:cxn modelId="{221BCE8F-907D-A646-A995-8EC750F7191B}" type="presParOf" srcId="{97502FF2-5021-4864-83D2-9E880078C7CB}" destId="{EC1981F3-B922-46B1-A383-7FD80410D418}" srcOrd="0" destOrd="0" presId="urn:microsoft.com/office/officeart/2005/8/layout/hierarchy3"/>
    <dgm:cxn modelId="{3D10152D-A073-9A47-8F81-6BB9A4A130E7}" type="presParOf" srcId="{EC1981F3-B922-46B1-A383-7FD80410D418}" destId="{25FE0B1E-0C84-4D92-8FDD-22841DCD73BA}" srcOrd="0" destOrd="0" presId="urn:microsoft.com/office/officeart/2005/8/layout/hierarchy3"/>
    <dgm:cxn modelId="{68982114-759A-2946-9CAF-F95ABA911504}" type="presParOf" srcId="{25FE0B1E-0C84-4D92-8FDD-22841DCD73BA}" destId="{19D82C40-1E26-4D07-BBCB-17012AD2558D}" srcOrd="0" destOrd="0" presId="urn:microsoft.com/office/officeart/2005/8/layout/hierarchy3"/>
    <dgm:cxn modelId="{3982BB2D-338C-AA45-B2B3-2240064B0B66}" type="presParOf" srcId="{25FE0B1E-0C84-4D92-8FDD-22841DCD73BA}" destId="{E3C0AC98-AD6A-4180-AF38-63DA97C48EA9}" srcOrd="1" destOrd="0" presId="urn:microsoft.com/office/officeart/2005/8/layout/hierarchy3"/>
    <dgm:cxn modelId="{F45E3C83-9D4C-E74C-B43E-573CCA8A97BF}" type="presParOf" srcId="{EC1981F3-B922-46B1-A383-7FD80410D418}" destId="{32A58F29-E342-44F8-AC3C-380A9C39C1A2}" srcOrd="1" destOrd="0" presId="urn:microsoft.com/office/officeart/2005/8/layout/hierarchy3"/>
    <dgm:cxn modelId="{94F405CC-3342-1449-9B82-3B0C571803C2}" type="presParOf" srcId="{32A58F29-E342-44F8-AC3C-380A9C39C1A2}" destId="{7630F261-8DF1-4D19-AB5E-8A9B0055A06A}" srcOrd="0" destOrd="0" presId="urn:microsoft.com/office/officeart/2005/8/layout/hierarchy3"/>
    <dgm:cxn modelId="{53875690-0E96-D242-BE56-CA2EB1525ABE}" type="presParOf" srcId="{32A58F29-E342-44F8-AC3C-380A9C39C1A2}" destId="{9E83BECD-D4CE-4BCC-B0F6-5FE6ECF8BEAB}" srcOrd="1" destOrd="0" presId="urn:microsoft.com/office/officeart/2005/8/layout/hierarchy3"/>
    <dgm:cxn modelId="{64684621-DE07-3F44-BB87-0C4F7C6BBE8E}" type="presParOf" srcId="{97502FF2-5021-4864-83D2-9E880078C7CB}" destId="{B8261EB4-6506-4CD0-B933-63F21768961F}" srcOrd="1" destOrd="0" presId="urn:microsoft.com/office/officeart/2005/8/layout/hierarchy3"/>
    <dgm:cxn modelId="{E67A93C2-A364-4C44-A129-0E0C95698D7F}" type="presParOf" srcId="{B8261EB4-6506-4CD0-B933-63F21768961F}" destId="{9C780B58-35CB-4CC2-AD1F-AAB8B626DAE8}" srcOrd="0" destOrd="0" presId="urn:microsoft.com/office/officeart/2005/8/layout/hierarchy3"/>
    <dgm:cxn modelId="{A4D358B8-7F1D-824A-A23B-3D91BAEFCDDC}" type="presParOf" srcId="{9C780B58-35CB-4CC2-AD1F-AAB8B626DAE8}" destId="{F2138B1E-B233-42C0-880B-42725F18062E}" srcOrd="0" destOrd="0" presId="urn:microsoft.com/office/officeart/2005/8/layout/hierarchy3"/>
    <dgm:cxn modelId="{6F41E21A-0A51-8C48-81DF-4EE5145F24B5}" type="presParOf" srcId="{9C780B58-35CB-4CC2-AD1F-AAB8B626DAE8}" destId="{F87391BD-EDD6-4AE1-A373-830547F23BFA}" srcOrd="1" destOrd="0" presId="urn:microsoft.com/office/officeart/2005/8/layout/hierarchy3"/>
    <dgm:cxn modelId="{CBC8C6F8-12D2-5340-A67A-B4134812713D}" type="presParOf" srcId="{B8261EB4-6506-4CD0-B933-63F21768961F}" destId="{953F1C62-629F-4296-89D2-9502DBD4116E}" srcOrd="1" destOrd="0" presId="urn:microsoft.com/office/officeart/2005/8/layout/hierarchy3"/>
    <dgm:cxn modelId="{B58AF33B-D59E-E344-8DB9-12BADF1E518C}" type="presParOf" srcId="{953F1C62-629F-4296-89D2-9502DBD4116E}" destId="{B453E302-B740-4279-95AD-CC39B13FF5FC}" srcOrd="0" destOrd="0" presId="urn:microsoft.com/office/officeart/2005/8/layout/hierarchy3"/>
    <dgm:cxn modelId="{ECFCA0B4-F206-6E4F-904B-C3A9A0E537BD}" type="presParOf" srcId="{953F1C62-629F-4296-89D2-9502DBD4116E}" destId="{F5B47F16-DC93-4910-9129-12971E7101ED}" srcOrd="1" destOrd="0" presId="urn:microsoft.com/office/officeart/2005/8/layout/hierarchy3"/>
    <dgm:cxn modelId="{E0C39E62-DE11-3E46-8107-833D294E5D3A}" type="presParOf" srcId="{953F1C62-629F-4296-89D2-9502DBD4116E}" destId="{38FEB66F-4598-49C6-B8FA-777D8D6DF8DD}" srcOrd="2" destOrd="0" presId="urn:microsoft.com/office/officeart/2005/8/layout/hierarchy3"/>
    <dgm:cxn modelId="{E1954538-3628-CA4D-A6BE-D233A8159D3D}" type="presParOf" srcId="{953F1C62-629F-4296-89D2-9502DBD4116E}" destId="{39738A6D-5E0D-458D-AF43-A6186DE73456}" srcOrd="3" destOrd="0" presId="urn:microsoft.com/office/officeart/2005/8/layout/hierarchy3"/>
    <dgm:cxn modelId="{97CC42A5-B2AB-084A-AC0F-3C51BC586422}" type="presParOf" srcId="{953F1C62-629F-4296-89D2-9502DBD4116E}" destId="{9DF463F1-73EB-4311-97B4-5AA86D2426FB}" srcOrd="4" destOrd="0" presId="urn:microsoft.com/office/officeart/2005/8/layout/hierarchy3"/>
    <dgm:cxn modelId="{1201F06D-A5D4-EB49-8756-C46D41706F99}" type="presParOf" srcId="{953F1C62-629F-4296-89D2-9502DBD4116E}" destId="{4E115F6E-13FF-4662-BBE0-5560E888DBB4}" srcOrd="5" destOrd="0" presId="urn:microsoft.com/office/officeart/2005/8/layout/hierarchy3"/>
    <dgm:cxn modelId="{F27DEC05-CD32-9E4A-AE8A-A75AE723B5BC}" type="presParOf" srcId="{97502FF2-5021-4864-83D2-9E880078C7CB}" destId="{CF81C446-1FD9-4572-BF5B-8DC0BC5CAD90}" srcOrd="2" destOrd="0" presId="urn:microsoft.com/office/officeart/2005/8/layout/hierarchy3"/>
    <dgm:cxn modelId="{574D921E-71E0-8841-A661-814255619968}" type="presParOf" srcId="{CF81C446-1FD9-4572-BF5B-8DC0BC5CAD90}" destId="{7EA899D5-2EC7-478E-88DF-F70727CE2FDA}" srcOrd="0" destOrd="0" presId="urn:microsoft.com/office/officeart/2005/8/layout/hierarchy3"/>
    <dgm:cxn modelId="{D6B74FDB-DFEC-B745-9A23-57835851798D}" type="presParOf" srcId="{7EA899D5-2EC7-478E-88DF-F70727CE2FDA}" destId="{54D08467-B7BA-4C54-B9FD-66B167D62073}" srcOrd="0" destOrd="0" presId="urn:microsoft.com/office/officeart/2005/8/layout/hierarchy3"/>
    <dgm:cxn modelId="{8B2DA7C5-6A42-AE47-B388-93DBC4D51163}" type="presParOf" srcId="{7EA899D5-2EC7-478E-88DF-F70727CE2FDA}" destId="{B7B23A35-C853-493E-B43B-362B1A81BCC3}" srcOrd="1" destOrd="0" presId="urn:microsoft.com/office/officeart/2005/8/layout/hierarchy3"/>
    <dgm:cxn modelId="{003E81C1-F0CD-7842-9347-7AE92CF4E44B}" type="presParOf" srcId="{CF81C446-1FD9-4572-BF5B-8DC0BC5CAD90}" destId="{737EEB2D-0D41-49CB-BEA0-C9682DCDE592}" srcOrd="1" destOrd="0" presId="urn:microsoft.com/office/officeart/2005/8/layout/hierarchy3"/>
    <dgm:cxn modelId="{88CA418A-D68B-5F43-A2AB-D338C2BE44B2}" type="presParOf" srcId="{737EEB2D-0D41-49CB-BEA0-C9682DCDE592}" destId="{534676F9-F213-4599-B213-AADC63F28215}" srcOrd="0" destOrd="0" presId="urn:microsoft.com/office/officeart/2005/8/layout/hierarchy3"/>
    <dgm:cxn modelId="{D1D5C6C8-C344-1F40-842A-6CAE06942E6D}" type="presParOf" srcId="{737EEB2D-0D41-49CB-BEA0-C9682DCDE592}" destId="{72D9CE66-FC23-4CE2-9911-A873CE4C1563}" srcOrd="1" destOrd="0" presId="urn:microsoft.com/office/officeart/2005/8/layout/hierarchy3"/>
    <dgm:cxn modelId="{E62F25EE-6DD2-C844-A173-924BBDA3D888}" type="presParOf" srcId="{737EEB2D-0D41-49CB-BEA0-C9682DCDE592}" destId="{54EBAAD0-183C-4E5E-9D83-60288DA02585}" srcOrd="2" destOrd="0" presId="urn:microsoft.com/office/officeart/2005/8/layout/hierarchy3"/>
    <dgm:cxn modelId="{6E47A092-53B1-5047-8BCE-40530E0F61B3}" type="presParOf" srcId="{737EEB2D-0D41-49CB-BEA0-C9682DCDE592}" destId="{F89F9FFA-B547-4961-8DDB-36AC629C36D5}" srcOrd="3" destOrd="0" presId="urn:microsoft.com/office/officeart/2005/8/layout/hierarchy3"/>
    <dgm:cxn modelId="{1AC72AF0-87FC-144D-9390-EBA18E8207FB}" type="presParOf" srcId="{737EEB2D-0D41-49CB-BEA0-C9682DCDE592}" destId="{27CC5BA7-7A07-4427-BBC1-46F0A3372297}" srcOrd="4" destOrd="0" presId="urn:microsoft.com/office/officeart/2005/8/layout/hierarchy3"/>
    <dgm:cxn modelId="{0187BAD4-A51C-7944-9CDD-2E15D8659FB1}" type="presParOf" srcId="{737EEB2D-0D41-49CB-BEA0-C9682DCDE592}" destId="{CE4B9D8F-E40F-47FB-A3A2-5A3E4024EDDC}" srcOrd="5" destOrd="0" presId="urn:microsoft.com/office/officeart/2005/8/layout/hierarchy3"/>
    <dgm:cxn modelId="{44BB8ADE-B48E-D944-9888-58E1686F4817}" type="presParOf" srcId="{737EEB2D-0D41-49CB-BEA0-C9682DCDE592}" destId="{413FD201-644E-4052-B2E3-337F37B795AF}" srcOrd="6" destOrd="0" presId="urn:microsoft.com/office/officeart/2005/8/layout/hierarchy3"/>
    <dgm:cxn modelId="{9AB30709-6157-4D4B-9FD0-2AD239854F87}" type="presParOf" srcId="{737EEB2D-0D41-49CB-BEA0-C9682DCDE592}" destId="{5ACB63D1-E1F4-4F3A-B2C4-99FBA26AD595}" srcOrd="7" destOrd="0" presId="urn:microsoft.com/office/officeart/2005/8/layout/hierarchy3"/>
    <dgm:cxn modelId="{74198151-4C92-9C41-853E-C0FD4E5F0F8A}" type="presParOf" srcId="{737EEB2D-0D41-49CB-BEA0-C9682DCDE592}" destId="{831489EC-1E5D-487C-A4CC-4E6B1CA7FDB9}" srcOrd="8" destOrd="0" presId="urn:microsoft.com/office/officeart/2005/8/layout/hierarchy3"/>
    <dgm:cxn modelId="{37ABA379-834A-6146-8DAC-8C4F408C329E}" type="presParOf" srcId="{737EEB2D-0D41-49CB-BEA0-C9682DCDE592}" destId="{AB55C7DB-72B2-45CC-811A-DFC7FF689F7E}" srcOrd="9" destOrd="0" presId="urn:microsoft.com/office/officeart/2005/8/layout/hierarchy3"/>
    <dgm:cxn modelId="{302BCE26-807A-5742-A4BB-F0F884ECEB8E}" type="presParOf" srcId="{737EEB2D-0D41-49CB-BEA0-C9682DCDE592}" destId="{9BCD9BDA-3C6D-44FE-97E7-496085F0ADC3}" srcOrd="10" destOrd="0" presId="urn:microsoft.com/office/officeart/2005/8/layout/hierarchy3"/>
    <dgm:cxn modelId="{89FC4907-595D-3F47-9C4C-737698FB220E}" type="presParOf" srcId="{737EEB2D-0D41-49CB-BEA0-C9682DCDE592}" destId="{8E098660-988D-4E9E-8AA7-FAA9CDA911CF}" srcOrd="11" destOrd="0" presId="urn:microsoft.com/office/officeart/2005/8/layout/hierarchy3"/>
    <dgm:cxn modelId="{EB2E13C5-9985-E640-97DD-B3E484DE05F0}" type="presParOf" srcId="{737EEB2D-0D41-49CB-BEA0-C9682DCDE592}" destId="{1FE7916D-3A1B-4604-9399-79263E7834E2}" srcOrd="12" destOrd="0" presId="urn:microsoft.com/office/officeart/2005/8/layout/hierarchy3"/>
    <dgm:cxn modelId="{55A0CF15-8E24-C945-9AF4-053496674BA8}" type="presParOf" srcId="{737EEB2D-0D41-49CB-BEA0-C9682DCDE592}" destId="{1000B667-64DD-404D-B1B1-C2324CD4DEDA}" srcOrd="13" destOrd="0" presId="urn:microsoft.com/office/officeart/2005/8/layout/hierarchy3"/>
    <dgm:cxn modelId="{134EB3A3-1D3B-524A-9245-52ABE53EA132}" type="presParOf" srcId="{737EEB2D-0D41-49CB-BEA0-C9682DCDE592}" destId="{6CC8219A-A0AB-435D-BBC9-69BE7317238F}" srcOrd="14" destOrd="0" presId="urn:microsoft.com/office/officeart/2005/8/layout/hierarchy3"/>
    <dgm:cxn modelId="{A65661D7-1C43-0344-98D3-2AEDCD9385D6}" type="presParOf" srcId="{737EEB2D-0D41-49CB-BEA0-C9682DCDE592}" destId="{7EBAA92F-B826-4793-AF81-950B91B15261}" srcOrd="15" destOrd="0" presId="urn:microsoft.com/office/officeart/2005/8/layout/hierarchy3"/>
    <dgm:cxn modelId="{93093DF1-0544-DB4E-9F64-0E8B933E4B40}" type="presParOf" srcId="{737EEB2D-0D41-49CB-BEA0-C9682DCDE592}" destId="{610DD603-59BB-4ECB-94FB-00A1271D6405}" srcOrd="16" destOrd="0" presId="urn:microsoft.com/office/officeart/2005/8/layout/hierarchy3"/>
    <dgm:cxn modelId="{2F606498-9431-D747-AA2D-33261B6B552E}" type="presParOf" srcId="{737EEB2D-0D41-49CB-BEA0-C9682DCDE592}" destId="{11039ABE-1C5B-45A2-A428-2E7D5CA17E49}" srcOrd="17" destOrd="0" presId="urn:microsoft.com/office/officeart/2005/8/layout/hierarchy3"/>
    <dgm:cxn modelId="{5118C3FA-0183-594C-B92B-288436CC699E}" type="presParOf" srcId="{97502FF2-5021-4864-83D2-9E880078C7CB}" destId="{BAF34497-F0CD-4170-B1D8-D43A3E59FD9B}" srcOrd="3" destOrd="0" presId="urn:microsoft.com/office/officeart/2005/8/layout/hierarchy3"/>
    <dgm:cxn modelId="{4C0BA8A5-B963-B448-A956-D6A4E30F243D}" type="presParOf" srcId="{BAF34497-F0CD-4170-B1D8-D43A3E59FD9B}" destId="{EF03687D-810A-4DD7-8D17-5B3DF124518E}" srcOrd="0" destOrd="0" presId="urn:microsoft.com/office/officeart/2005/8/layout/hierarchy3"/>
    <dgm:cxn modelId="{3EA39462-CE9F-2C49-9E4E-4078341B8C1F}" type="presParOf" srcId="{EF03687D-810A-4DD7-8D17-5B3DF124518E}" destId="{A95604F1-E549-41CC-813D-EC83B1ECBE69}" srcOrd="0" destOrd="0" presId="urn:microsoft.com/office/officeart/2005/8/layout/hierarchy3"/>
    <dgm:cxn modelId="{79ADC245-D2D9-2246-AE64-D7B403C5881B}" type="presParOf" srcId="{EF03687D-810A-4DD7-8D17-5B3DF124518E}" destId="{123704D1-B565-41DD-B4AC-07492CBE8C6C}" srcOrd="1" destOrd="0" presId="urn:microsoft.com/office/officeart/2005/8/layout/hierarchy3"/>
    <dgm:cxn modelId="{A9A35542-AFEA-8043-BCBD-9E3EB56F7524}" type="presParOf" srcId="{BAF34497-F0CD-4170-B1D8-D43A3E59FD9B}" destId="{1E3649DA-986C-4D8B-84C7-25FC7CD7A337}" srcOrd="1" destOrd="0" presId="urn:microsoft.com/office/officeart/2005/8/layout/hierarchy3"/>
    <dgm:cxn modelId="{06FA69BC-318E-904B-8C5B-C11FDAF9CA72}" type="presParOf" srcId="{1E3649DA-986C-4D8B-84C7-25FC7CD7A337}" destId="{376ED340-0CBB-46B6-915B-367ABFE16863}" srcOrd="0" destOrd="0" presId="urn:microsoft.com/office/officeart/2005/8/layout/hierarchy3"/>
    <dgm:cxn modelId="{1D055215-9E28-1847-890C-AEFF2555D1FE}" type="presParOf" srcId="{1E3649DA-986C-4D8B-84C7-25FC7CD7A337}" destId="{31283B55-727E-4E27-87BB-74B95C51B723}" srcOrd="1" destOrd="0" presId="urn:microsoft.com/office/officeart/2005/8/layout/hierarchy3"/>
    <dgm:cxn modelId="{C3E12B5D-3FCA-3043-8F89-14FDA0ED8B06}" type="presParOf" srcId="{1E3649DA-986C-4D8B-84C7-25FC7CD7A337}" destId="{D77D92BE-30F7-4CA8-AB1C-B6B03EAE682C}" srcOrd="2" destOrd="0" presId="urn:microsoft.com/office/officeart/2005/8/layout/hierarchy3"/>
    <dgm:cxn modelId="{B3393777-2208-4E4E-AEBF-CD3815C4D96C}" type="presParOf" srcId="{1E3649DA-986C-4D8B-84C7-25FC7CD7A337}" destId="{BD1F80D1-C1DC-4999-A6DC-9663DE8F5A88}" srcOrd="3" destOrd="0" presId="urn:microsoft.com/office/officeart/2005/8/layout/hierarchy3"/>
    <dgm:cxn modelId="{294CF570-E49A-7B47-A904-28A24EB233E8}" type="presParOf" srcId="{1E3649DA-986C-4D8B-84C7-25FC7CD7A337}" destId="{F6F92AEB-BB2D-4612-A0CB-9B3ED62F30B5}" srcOrd="4" destOrd="0" presId="urn:microsoft.com/office/officeart/2005/8/layout/hierarchy3"/>
    <dgm:cxn modelId="{13E66F86-66FC-EF45-80A6-1A68A3FFA55B}" type="presParOf" srcId="{1E3649DA-986C-4D8B-84C7-25FC7CD7A337}" destId="{997D1731-12F1-4A53-96B8-4FD5A9CD15F2}" srcOrd="5" destOrd="0" presId="urn:microsoft.com/office/officeart/2005/8/layout/hierarchy3"/>
    <dgm:cxn modelId="{8DC9133F-C0E6-254E-8AE8-AC677286386F}" type="presParOf" srcId="{97502FF2-5021-4864-83D2-9E880078C7CB}" destId="{8DDC7B4D-6A65-4638-9B1D-3FAAD6DB6611}" srcOrd="4" destOrd="0" presId="urn:microsoft.com/office/officeart/2005/8/layout/hierarchy3"/>
    <dgm:cxn modelId="{AD8B432B-423C-3542-9049-02F907C5B5E3}" type="presParOf" srcId="{8DDC7B4D-6A65-4638-9B1D-3FAAD6DB6611}" destId="{2DC7364F-C57D-4468-A817-888690C3DB45}" srcOrd="0" destOrd="0" presId="urn:microsoft.com/office/officeart/2005/8/layout/hierarchy3"/>
    <dgm:cxn modelId="{2F5B28D4-D875-F341-AF54-36CE64661942}" type="presParOf" srcId="{2DC7364F-C57D-4468-A817-888690C3DB45}" destId="{401DE52C-705B-4F0F-A965-041A99AC8596}" srcOrd="0" destOrd="0" presId="urn:microsoft.com/office/officeart/2005/8/layout/hierarchy3"/>
    <dgm:cxn modelId="{1A09810A-F5A4-AC45-9DC7-FCA49184FC7B}" type="presParOf" srcId="{2DC7364F-C57D-4468-A817-888690C3DB45}" destId="{B39A4BBE-9A19-495A-84A5-24370B493E34}" srcOrd="1" destOrd="0" presId="urn:microsoft.com/office/officeart/2005/8/layout/hierarchy3"/>
    <dgm:cxn modelId="{2F89548E-D9F4-2D45-8CF9-5F0DF47DDDAF}" type="presParOf" srcId="{8DDC7B4D-6A65-4638-9B1D-3FAAD6DB6611}" destId="{3EA89886-25FE-4A40-BA1E-C2EBD407777F}" srcOrd="1" destOrd="0" presId="urn:microsoft.com/office/officeart/2005/8/layout/hierarchy3"/>
    <dgm:cxn modelId="{A7AAA06E-72A1-3A46-A0C5-F8C2E42AF9B2}" type="presParOf" srcId="{3EA89886-25FE-4A40-BA1E-C2EBD407777F}" destId="{E125A7DB-F70A-43F1-A53A-40D2441EDA38}" srcOrd="0" destOrd="0" presId="urn:microsoft.com/office/officeart/2005/8/layout/hierarchy3"/>
    <dgm:cxn modelId="{2BEE66B3-E85A-424B-AFE4-018BA7EBD049}" type="presParOf" srcId="{3EA89886-25FE-4A40-BA1E-C2EBD407777F}" destId="{2476410F-3D33-40F8-8507-61F3E60FC2A9}" srcOrd="1" destOrd="0" presId="urn:microsoft.com/office/officeart/2005/8/layout/hierarchy3"/>
    <dgm:cxn modelId="{657F3B44-7B59-0D48-81BE-8353C63C06B6}" type="presParOf" srcId="{3EA89886-25FE-4A40-BA1E-C2EBD407777F}" destId="{2699F7E5-EB01-4966-AEC6-6E15D6D578E5}" srcOrd="2" destOrd="0" presId="urn:microsoft.com/office/officeart/2005/8/layout/hierarchy3"/>
    <dgm:cxn modelId="{FC7789FF-1081-8545-BFDD-12A35EF82D15}" type="presParOf" srcId="{3EA89886-25FE-4A40-BA1E-C2EBD407777F}" destId="{617CFDC9-6D25-4A48-88F6-75C84F60799A}" srcOrd="3" destOrd="0" presId="urn:microsoft.com/office/officeart/2005/8/layout/hierarchy3"/>
    <dgm:cxn modelId="{69C05698-4DDA-5347-8689-F0B2EC1D50A8}" type="presParOf" srcId="{97502FF2-5021-4864-83D2-9E880078C7CB}" destId="{BE8B784F-F4F7-469C-921E-9D1585F685E4}" srcOrd="5" destOrd="0" presId="urn:microsoft.com/office/officeart/2005/8/layout/hierarchy3"/>
    <dgm:cxn modelId="{70DB6A0C-DB97-F147-87CD-A40D3A52226C}" type="presParOf" srcId="{BE8B784F-F4F7-469C-921E-9D1585F685E4}" destId="{91A9D1D7-34DA-47FB-8A66-5891161BF255}" srcOrd="0" destOrd="0" presId="urn:microsoft.com/office/officeart/2005/8/layout/hierarchy3"/>
    <dgm:cxn modelId="{5F09BDF1-571F-C44B-9A48-F6699887EB1C}" type="presParOf" srcId="{91A9D1D7-34DA-47FB-8A66-5891161BF255}" destId="{93CC07DE-9848-49C7-9054-17138797428B}" srcOrd="0" destOrd="0" presId="urn:microsoft.com/office/officeart/2005/8/layout/hierarchy3"/>
    <dgm:cxn modelId="{BF45F978-D04F-DA47-ACFC-D575BD745FEE}" type="presParOf" srcId="{91A9D1D7-34DA-47FB-8A66-5891161BF255}" destId="{AF6F0AD5-6B30-4096-9577-07F27DFCF092}" srcOrd="1" destOrd="0" presId="urn:microsoft.com/office/officeart/2005/8/layout/hierarchy3"/>
    <dgm:cxn modelId="{FEF3BE96-9A7C-B54B-B39D-5688DDCCEDAE}" type="presParOf" srcId="{BE8B784F-F4F7-469C-921E-9D1585F685E4}" destId="{922D3AB9-9DF5-4660-B156-7508FBC1949A}" srcOrd="1" destOrd="0" presId="urn:microsoft.com/office/officeart/2005/8/layout/hierarchy3"/>
    <dgm:cxn modelId="{9C0EE2DB-2F8D-0048-A49C-717967655D07}" type="presParOf" srcId="{922D3AB9-9DF5-4660-B156-7508FBC1949A}" destId="{4E434111-071E-44A6-92E2-FF73501C15DD}" srcOrd="0" destOrd="0" presId="urn:microsoft.com/office/officeart/2005/8/layout/hierarchy3"/>
    <dgm:cxn modelId="{FFE297AE-7D91-844C-BE24-1C378B94A0DB}" type="presParOf" srcId="{922D3AB9-9DF5-4660-B156-7508FBC1949A}" destId="{459DB949-60CC-443F-9A3C-4107D91683D5}" srcOrd="1" destOrd="0" presId="urn:microsoft.com/office/officeart/2005/8/layout/hierarchy3"/>
    <dgm:cxn modelId="{B37DA15F-FA2D-5844-AC01-9E73AB29E625}" type="presParOf" srcId="{922D3AB9-9DF5-4660-B156-7508FBC1949A}" destId="{6C9D44BE-410C-4603-B476-29D156538DFB}" srcOrd="2" destOrd="0" presId="urn:microsoft.com/office/officeart/2005/8/layout/hierarchy3"/>
    <dgm:cxn modelId="{48DD71EF-2230-A54D-84E8-DABB4E3998C7}" type="presParOf" srcId="{922D3AB9-9DF5-4660-B156-7508FBC1949A}" destId="{21689643-EA09-4D18-BB56-22440C0136A5}" srcOrd="3" destOrd="0" presId="urn:microsoft.com/office/officeart/2005/8/layout/hierarchy3"/>
    <dgm:cxn modelId="{E3B5C074-68EA-004D-909D-C242599BF9CE}" type="presParOf" srcId="{922D3AB9-9DF5-4660-B156-7508FBC1949A}" destId="{08E012A8-6989-4719-87F4-B5232A699E16}" srcOrd="4" destOrd="0" presId="urn:microsoft.com/office/officeart/2005/8/layout/hierarchy3"/>
    <dgm:cxn modelId="{CF6F74ED-F9A7-BE42-BDD2-B932EEEBDE74}" type="presParOf" srcId="{922D3AB9-9DF5-4660-B156-7508FBC1949A}" destId="{62886DF6-8549-4B0E-9D9D-251E80E1CBDD}" srcOrd="5" destOrd="0" presId="urn:microsoft.com/office/officeart/2005/8/layout/hierarchy3"/>
    <dgm:cxn modelId="{C00460A6-064C-3649-BF29-E8A3F5E78C36}" type="presParOf" srcId="{922D3AB9-9DF5-4660-B156-7508FBC1949A}" destId="{CA4C5356-CCDA-49A4-B03E-6F5F92819E0D}" srcOrd="6" destOrd="0" presId="urn:microsoft.com/office/officeart/2005/8/layout/hierarchy3"/>
    <dgm:cxn modelId="{79F58B3E-ADBE-9348-8A40-20AF10B5FBD3}" type="presParOf" srcId="{922D3AB9-9DF5-4660-B156-7508FBC1949A}" destId="{6A647378-2E26-4337-B2E2-DD52A3275FE3}" srcOrd="7" destOrd="0" presId="urn:microsoft.com/office/officeart/2005/8/layout/hierarchy3"/>
    <dgm:cxn modelId="{8E111630-BA50-B146-BBF8-8C14E2D3E50C}" type="presParOf" srcId="{922D3AB9-9DF5-4660-B156-7508FBC1949A}" destId="{0D1AEEDD-807B-481D-9EE8-266C73486F04}" srcOrd="8" destOrd="0" presId="urn:microsoft.com/office/officeart/2005/8/layout/hierarchy3"/>
    <dgm:cxn modelId="{045295CE-8CE2-954B-81B1-9AF5EC014F72}" type="presParOf" srcId="{922D3AB9-9DF5-4660-B156-7508FBC1949A}" destId="{7CAC45FF-F251-46E4-B4FD-423BD3A36E41}" srcOrd="9" destOrd="0" presId="urn:microsoft.com/office/officeart/2005/8/layout/hierarchy3"/>
    <dgm:cxn modelId="{E30876EE-B084-3144-BD7C-009542B80694}" type="presParOf" srcId="{922D3AB9-9DF5-4660-B156-7508FBC1949A}" destId="{200168A9-0A8B-4F51-AE13-0AF9EC3500DF}" srcOrd="10" destOrd="0" presId="urn:microsoft.com/office/officeart/2005/8/layout/hierarchy3"/>
    <dgm:cxn modelId="{83DCA3C9-D3EE-1F43-8F4B-E915CF7E6997}" type="presParOf" srcId="{922D3AB9-9DF5-4660-B156-7508FBC1949A}" destId="{41497001-F1C5-4CB3-B6C0-1A205DE55BE2}" srcOrd="11" destOrd="0" presId="urn:microsoft.com/office/officeart/2005/8/layout/hierarchy3"/>
    <dgm:cxn modelId="{7A2A1F81-19FE-824C-BB58-FFAF1FE7B901}" type="presParOf" srcId="{97502FF2-5021-4864-83D2-9E880078C7CB}" destId="{1AC52259-65EE-471A-B302-4172C0A6055E}" srcOrd="6" destOrd="0" presId="urn:microsoft.com/office/officeart/2005/8/layout/hierarchy3"/>
    <dgm:cxn modelId="{4D1B74C7-1623-8647-8890-C4A006332D7D}" type="presParOf" srcId="{1AC52259-65EE-471A-B302-4172C0A6055E}" destId="{DA558E16-7582-49FC-9578-4BD880825F5C}" srcOrd="0" destOrd="0" presId="urn:microsoft.com/office/officeart/2005/8/layout/hierarchy3"/>
    <dgm:cxn modelId="{C345B6E7-04FE-274E-8D0B-3910983E168F}" type="presParOf" srcId="{DA558E16-7582-49FC-9578-4BD880825F5C}" destId="{21E3A2C0-39A1-451C-B542-C94F410EE2BC}" srcOrd="0" destOrd="0" presId="urn:microsoft.com/office/officeart/2005/8/layout/hierarchy3"/>
    <dgm:cxn modelId="{30094A21-851B-1740-A4BD-7A9F9CFCC3E8}" type="presParOf" srcId="{DA558E16-7582-49FC-9578-4BD880825F5C}" destId="{D8F3A73D-B28C-4839-8B5F-18C00137D436}" srcOrd="1" destOrd="0" presId="urn:microsoft.com/office/officeart/2005/8/layout/hierarchy3"/>
    <dgm:cxn modelId="{ED90E100-77BA-0149-B382-F140B4045B6B}" type="presParOf" srcId="{1AC52259-65EE-471A-B302-4172C0A6055E}" destId="{F3266C67-F449-431D-A3FE-4FDEDCCDBBCD}" srcOrd="1" destOrd="0" presId="urn:microsoft.com/office/officeart/2005/8/layout/hierarchy3"/>
    <dgm:cxn modelId="{10340CD4-A090-2749-86AA-540334C19589}" type="presParOf" srcId="{F3266C67-F449-431D-A3FE-4FDEDCCDBBCD}" destId="{E3510D3B-C18B-41CD-8901-9FF8286B3654}" srcOrd="0" destOrd="0" presId="urn:microsoft.com/office/officeart/2005/8/layout/hierarchy3"/>
    <dgm:cxn modelId="{DC9D3DCF-8B16-B94E-A23F-EF88E257CC5A}" type="presParOf" srcId="{F3266C67-F449-431D-A3FE-4FDEDCCDBBCD}" destId="{FCE5A3B5-FB82-41E8-BAC3-C40DE9C0C13F}" srcOrd="1" destOrd="0" presId="urn:microsoft.com/office/officeart/2005/8/layout/hierarchy3"/>
    <dgm:cxn modelId="{641D42BF-2420-8046-B692-2B95DFA23D97}" type="presParOf" srcId="{F3266C67-F449-431D-A3FE-4FDEDCCDBBCD}" destId="{93A3DB23-E6F2-4CBA-94AE-54E596D6F022}" srcOrd="2" destOrd="0" presId="urn:microsoft.com/office/officeart/2005/8/layout/hierarchy3"/>
    <dgm:cxn modelId="{BB71001B-F896-5C47-A1DA-C3280015EA29}" type="presParOf" srcId="{F3266C67-F449-431D-A3FE-4FDEDCCDBBCD}" destId="{EF518F7B-F206-466D-B3B6-2B119E2CACCC}" srcOrd="3" destOrd="0" presId="urn:microsoft.com/office/officeart/2005/8/layout/hierarchy3"/>
    <dgm:cxn modelId="{878B1B90-993A-7F4A-A255-4EA3FC844097}" type="presParOf" srcId="{F3266C67-F449-431D-A3FE-4FDEDCCDBBCD}" destId="{D0600A31-1859-46B5-97C9-946A4F32DC32}" srcOrd="4" destOrd="0" presId="urn:microsoft.com/office/officeart/2005/8/layout/hierarchy3"/>
    <dgm:cxn modelId="{67AAB331-EAA1-4544-9D70-E794D4C9B97B}" type="presParOf" srcId="{F3266C67-F449-431D-A3FE-4FDEDCCDBBCD}" destId="{61E948B0-C6D0-4DAA-829B-35030A9E03D9}" srcOrd="5" destOrd="0" presId="urn:microsoft.com/office/officeart/2005/8/layout/hierarchy3"/>
    <dgm:cxn modelId="{EA635F47-B83D-EB4B-8BCA-3EDB47B9D711}" type="presParOf" srcId="{F3266C67-F449-431D-A3FE-4FDEDCCDBBCD}" destId="{548D9CFA-7F2D-45CE-B06E-0CA1D49DA920}" srcOrd="6" destOrd="0" presId="urn:microsoft.com/office/officeart/2005/8/layout/hierarchy3"/>
    <dgm:cxn modelId="{71EBAED4-94EF-DE4F-BC63-85D8B634BD25}" type="presParOf" srcId="{F3266C67-F449-431D-A3FE-4FDEDCCDBBCD}" destId="{0C7C3F92-670F-4119-BFF9-C4C27328014C}" srcOrd="7" destOrd="0" presId="urn:microsoft.com/office/officeart/2005/8/layout/hierarchy3"/>
    <dgm:cxn modelId="{176D4087-A52C-5842-B366-4FCCBAB46B4B}" type="presParOf" srcId="{F3266C67-F449-431D-A3FE-4FDEDCCDBBCD}" destId="{B4166CF7-58A8-4440-B252-4EA8EA4B0CBE}" srcOrd="8" destOrd="0" presId="urn:microsoft.com/office/officeart/2005/8/layout/hierarchy3"/>
    <dgm:cxn modelId="{612B012D-5138-3C4E-A5EA-3014D7B0425D}" type="presParOf" srcId="{F3266C67-F449-431D-A3FE-4FDEDCCDBBCD}" destId="{3C29ABEF-705B-40F5-B102-844137FE69B2}" srcOrd="9" destOrd="0" presId="urn:microsoft.com/office/officeart/2005/8/layout/hierarchy3"/>
    <dgm:cxn modelId="{BA91F968-CEBA-1B43-A33B-7D83CBF3889F}" type="presParOf" srcId="{97502FF2-5021-4864-83D2-9E880078C7CB}" destId="{1F70B81E-5185-4E44-83AC-5C1E9092D91A}" srcOrd="7" destOrd="0" presId="urn:microsoft.com/office/officeart/2005/8/layout/hierarchy3"/>
    <dgm:cxn modelId="{A50EBDF5-0B90-D54A-8C91-BEF03BD19351}" type="presParOf" srcId="{1F70B81E-5185-4E44-83AC-5C1E9092D91A}" destId="{A743FD23-DDEE-44DD-85DF-44104C4E9421}" srcOrd="0" destOrd="0" presId="urn:microsoft.com/office/officeart/2005/8/layout/hierarchy3"/>
    <dgm:cxn modelId="{7BAD4287-8789-1741-B200-959F7BFD1644}" type="presParOf" srcId="{A743FD23-DDEE-44DD-85DF-44104C4E9421}" destId="{0E5BAF8B-E9E8-4A1C-B338-69713C013FC2}" srcOrd="0" destOrd="0" presId="urn:microsoft.com/office/officeart/2005/8/layout/hierarchy3"/>
    <dgm:cxn modelId="{8535F1B5-DC80-334C-8560-B445C510F57B}" type="presParOf" srcId="{A743FD23-DDEE-44DD-85DF-44104C4E9421}" destId="{753A2E17-2A98-415C-9953-0A6F35421146}" srcOrd="1" destOrd="0" presId="urn:microsoft.com/office/officeart/2005/8/layout/hierarchy3"/>
    <dgm:cxn modelId="{F4D30B0F-B038-9541-8EA6-77E120271CB0}" type="presParOf" srcId="{1F70B81E-5185-4E44-83AC-5C1E9092D91A}" destId="{F4F680FA-DC93-4DC1-9FCC-3443DFD715E4}" srcOrd="1" destOrd="0" presId="urn:microsoft.com/office/officeart/2005/8/layout/hierarchy3"/>
    <dgm:cxn modelId="{B7125485-678A-9D45-A937-7987D588DED7}" type="presParOf" srcId="{F4F680FA-DC93-4DC1-9FCC-3443DFD715E4}" destId="{380DCD66-32ED-4293-99E3-672D133A68F5}" srcOrd="0" destOrd="0" presId="urn:microsoft.com/office/officeart/2005/8/layout/hierarchy3"/>
    <dgm:cxn modelId="{55931356-01C0-1A40-9266-2540F8F5D19C}" type="presParOf" srcId="{F4F680FA-DC93-4DC1-9FCC-3443DFD715E4}" destId="{8428846F-AB1D-4E49-8DB8-2A1865B5B5AD}" srcOrd="1" destOrd="0" presId="urn:microsoft.com/office/officeart/2005/8/layout/hierarchy3"/>
    <dgm:cxn modelId="{D4490C83-D751-C64E-BAE6-064DF78B8655}" type="presParOf" srcId="{97502FF2-5021-4864-83D2-9E880078C7CB}" destId="{FA6DE8F6-440B-4808-87FA-F80E52429502}" srcOrd="8" destOrd="0" presId="urn:microsoft.com/office/officeart/2005/8/layout/hierarchy3"/>
    <dgm:cxn modelId="{11E3BA77-3BA6-374D-BF6D-71CC5B69F0B9}" type="presParOf" srcId="{FA6DE8F6-440B-4808-87FA-F80E52429502}" destId="{85AF0D9A-462F-41B8-9324-755D665776A2}" srcOrd="0" destOrd="0" presId="urn:microsoft.com/office/officeart/2005/8/layout/hierarchy3"/>
    <dgm:cxn modelId="{B4F3ED02-885A-DE4E-ADE0-8CF218B31F5E}" type="presParOf" srcId="{85AF0D9A-462F-41B8-9324-755D665776A2}" destId="{D0163565-5814-434C-BC8F-DCAE04A5BAEA}" srcOrd="0" destOrd="0" presId="urn:microsoft.com/office/officeart/2005/8/layout/hierarchy3"/>
    <dgm:cxn modelId="{3DF26EE8-E91E-0D4E-8963-13B2D696B585}" type="presParOf" srcId="{85AF0D9A-462F-41B8-9324-755D665776A2}" destId="{4DDAEDF3-953A-4F0A-82BF-4BC7926D6326}" srcOrd="1" destOrd="0" presId="urn:microsoft.com/office/officeart/2005/8/layout/hierarchy3"/>
    <dgm:cxn modelId="{8BC0C36B-C8F8-A743-8302-430CEACFFB2F}" type="presParOf" srcId="{FA6DE8F6-440B-4808-87FA-F80E52429502}" destId="{D40F694C-02F1-4AEC-90CF-4A6CCE7E3328}" srcOrd="1" destOrd="0" presId="urn:microsoft.com/office/officeart/2005/8/layout/hierarchy3"/>
    <dgm:cxn modelId="{9ADF0248-C17E-724F-8B67-2359CDB0B67B}" type="presParOf" srcId="{D40F694C-02F1-4AEC-90CF-4A6CCE7E3328}" destId="{EBA05615-223F-4BE7-982E-A5BEDC9528C5}" srcOrd="0" destOrd="0" presId="urn:microsoft.com/office/officeart/2005/8/layout/hierarchy3"/>
    <dgm:cxn modelId="{176315B9-F8FA-E34B-8576-58E859DA8903}" type="presParOf" srcId="{D40F694C-02F1-4AEC-90CF-4A6CCE7E3328}" destId="{5D564A99-7479-4729-9482-4A30945321DD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E132558C-8268-4AD9-A511-4ADB8381629A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CA59E0EF-2B85-4F90-9F5A-7F43DABA438B}">
      <dgm:prSet/>
      <dgm:spPr/>
      <dgm:t>
        <a:bodyPr/>
        <a:lstStyle/>
        <a:p>
          <a:r>
            <a:rPr lang="en-US"/>
            <a:t>Auto		</a:t>
          </a:r>
        </a:p>
      </dgm:t>
    </dgm:pt>
    <dgm:pt modelId="{3D47AB9A-2BDA-4DBB-AA2A-5F0805EAF4D4}" type="parTrans" cxnId="{E4B2ECE1-F456-42E1-A996-8D80D02D8DDB}">
      <dgm:prSet/>
      <dgm:spPr/>
      <dgm:t>
        <a:bodyPr/>
        <a:lstStyle/>
        <a:p>
          <a:endParaRPr lang="en-US"/>
        </a:p>
      </dgm:t>
    </dgm:pt>
    <dgm:pt modelId="{B9EB1ACD-C08A-429F-AD4F-CFA84C8373EE}" type="sibTrans" cxnId="{E4B2ECE1-F456-42E1-A996-8D80D02D8DDB}">
      <dgm:prSet/>
      <dgm:spPr/>
      <dgm:t>
        <a:bodyPr/>
        <a:lstStyle/>
        <a:p>
          <a:endParaRPr lang="en-US"/>
        </a:p>
      </dgm:t>
    </dgm:pt>
    <dgm:pt modelId="{3B130AA7-D6BE-4367-AC0B-5A3087E10CB3}">
      <dgm:prSet/>
      <dgm:spPr/>
      <dgm:t>
        <a:bodyPr/>
        <a:lstStyle/>
        <a:p>
          <a:r>
            <a:rPr lang="en-US"/>
            <a:t>TBH16    Software Engineer</a:t>
          </a:r>
        </a:p>
      </dgm:t>
    </dgm:pt>
    <dgm:pt modelId="{2F765CCB-FD7F-41C2-8CAD-82CCEE667A32}" type="parTrans" cxnId="{5238A125-226F-417C-A170-303C2214F910}">
      <dgm:prSet/>
      <dgm:spPr/>
      <dgm:t>
        <a:bodyPr/>
        <a:lstStyle/>
        <a:p>
          <a:endParaRPr lang="en-US"/>
        </a:p>
      </dgm:t>
    </dgm:pt>
    <dgm:pt modelId="{D372CC97-89BE-4706-BD83-3E253C541BAE}" type="sibTrans" cxnId="{5238A125-226F-417C-A170-303C2214F910}">
      <dgm:prSet/>
      <dgm:spPr/>
      <dgm:t>
        <a:bodyPr/>
        <a:lstStyle/>
        <a:p>
          <a:endParaRPr lang="en-US"/>
        </a:p>
      </dgm:t>
    </dgm:pt>
    <dgm:pt modelId="{B2C4F78F-4650-486B-A353-765671F01744}">
      <dgm:prSet/>
      <dgm:spPr/>
      <dgm:t>
        <a:bodyPr/>
        <a:lstStyle/>
        <a:p>
          <a:r>
            <a:rPr lang="en-US"/>
            <a:t>Dev		</a:t>
          </a:r>
        </a:p>
      </dgm:t>
    </dgm:pt>
    <dgm:pt modelId="{A69BC4F1-C064-44EA-9CBB-09B16B4607C7}" type="parTrans" cxnId="{5FC17B7A-7916-460D-9DB7-346578454CF2}">
      <dgm:prSet/>
      <dgm:spPr/>
      <dgm:t>
        <a:bodyPr/>
        <a:lstStyle/>
        <a:p>
          <a:endParaRPr lang="en-US"/>
        </a:p>
      </dgm:t>
    </dgm:pt>
    <dgm:pt modelId="{AB45189D-11DA-4490-941A-8539486ED071}" type="sibTrans" cxnId="{5FC17B7A-7916-460D-9DB7-346578454CF2}">
      <dgm:prSet/>
      <dgm:spPr/>
      <dgm:t>
        <a:bodyPr/>
        <a:lstStyle/>
        <a:p>
          <a:endParaRPr lang="en-US"/>
        </a:p>
      </dgm:t>
    </dgm:pt>
    <dgm:pt modelId="{3D9F2B95-E066-4A3B-8FB6-A79C13F1F2E8}">
      <dgm:prSet/>
      <dgm:spPr>
        <a:ln w="31750" cmpd="dbl"/>
      </dgm:spPr>
      <dgm:t>
        <a:bodyPr/>
        <a:lstStyle/>
        <a:p>
          <a:r>
            <a:rPr lang="en-US"/>
            <a:t>Isherwood, Ben    Senior Manager, Engineering</a:t>
          </a:r>
        </a:p>
      </dgm:t>
    </dgm:pt>
    <dgm:pt modelId="{440B25CA-CE37-4C1E-9959-8AD51ED7D649}" type="parTrans" cxnId="{C3F39FC7-8294-4706-B327-101237FD5FC8}">
      <dgm:prSet/>
      <dgm:spPr/>
      <dgm:t>
        <a:bodyPr/>
        <a:lstStyle/>
        <a:p>
          <a:endParaRPr lang="en-US"/>
        </a:p>
      </dgm:t>
    </dgm:pt>
    <dgm:pt modelId="{31AD836D-2E5D-455A-BB80-A75D9B9C95FE}" type="sibTrans" cxnId="{C3F39FC7-8294-4706-B327-101237FD5FC8}">
      <dgm:prSet/>
      <dgm:spPr/>
      <dgm:t>
        <a:bodyPr/>
        <a:lstStyle/>
        <a:p>
          <a:endParaRPr lang="en-US"/>
        </a:p>
      </dgm:t>
    </dgm:pt>
    <dgm:pt modelId="{71039473-88E5-4A0A-8BC2-2B5F40378AC3}">
      <dgm:prSet/>
      <dgm:spPr/>
      <dgm:t>
        <a:bodyPr/>
        <a:lstStyle/>
        <a:p>
          <a:r>
            <a:rPr lang="en-US"/>
            <a:t>Mau, Manet    Specialist, SW Engineer</a:t>
          </a:r>
        </a:p>
      </dgm:t>
    </dgm:pt>
    <dgm:pt modelId="{A2E5DD5F-8FD1-4A6E-AA3B-164F2954D821}" type="parTrans" cxnId="{E2A76877-7237-4786-832D-7FA19967F517}">
      <dgm:prSet/>
      <dgm:spPr/>
      <dgm:t>
        <a:bodyPr/>
        <a:lstStyle/>
        <a:p>
          <a:endParaRPr lang="en-US"/>
        </a:p>
      </dgm:t>
    </dgm:pt>
    <dgm:pt modelId="{A04C3662-BE20-495F-9DA4-8734F7FA64D8}" type="sibTrans" cxnId="{E2A76877-7237-4786-832D-7FA19967F517}">
      <dgm:prSet/>
      <dgm:spPr/>
      <dgm:t>
        <a:bodyPr/>
        <a:lstStyle/>
        <a:p>
          <a:endParaRPr lang="en-US"/>
        </a:p>
      </dgm:t>
    </dgm:pt>
    <dgm:pt modelId="{42467835-C281-4D1F-81AC-1B01BD62445B}">
      <dgm:prSet/>
      <dgm:spPr/>
      <dgm:t>
        <a:bodyPr/>
        <a:lstStyle/>
        <a:p>
          <a:r>
            <a:rPr lang="en-US"/>
            <a:t>TBH18        Senior, SW Engineer</a:t>
          </a:r>
        </a:p>
      </dgm:t>
    </dgm:pt>
    <dgm:pt modelId="{ADB2FDC6-9387-4E9E-B75D-8AA51FCCD630}" type="parTrans" cxnId="{8CCE7715-A169-4C7F-BEAD-6361BD27655C}">
      <dgm:prSet/>
      <dgm:spPr/>
      <dgm:t>
        <a:bodyPr/>
        <a:lstStyle/>
        <a:p>
          <a:endParaRPr lang="en-US"/>
        </a:p>
      </dgm:t>
    </dgm:pt>
    <dgm:pt modelId="{2FA75F10-526F-44A1-BA65-E602C1B2FC53}" type="sibTrans" cxnId="{8CCE7715-A169-4C7F-BEAD-6361BD27655C}">
      <dgm:prSet/>
      <dgm:spPr/>
      <dgm:t>
        <a:bodyPr/>
        <a:lstStyle/>
        <a:p>
          <a:endParaRPr lang="en-US"/>
        </a:p>
      </dgm:t>
    </dgm:pt>
    <dgm:pt modelId="{977F79CC-323B-4E78-8EF3-702643E2E835}">
      <dgm:prSet/>
      <dgm:spPr/>
      <dgm:t>
        <a:bodyPr/>
        <a:lstStyle/>
        <a:p>
          <a:r>
            <a:rPr lang="en-US"/>
            <a:t>PO		</a:t>
          </a:r>
        </a:p>
      </dgm:t>
    </dgm:pt>
    <dgm:pt modelId="{1201B371-5EC5-4C94-8CE6-FC71C6879483}" type="parTrans" cxnId="{18C5BEFD-CB62-4D40-9276-26E79517FDEF}">
      <dgm:prSet/>
      <dgm:spPr/>
      <dgm:t>
        <a:bodyPr/>
        <a:lstStyle/>
        <a:p>
          <a:endParaRPr lang="en-US"/>
        </a:p>
      </dgm:t>
    </dgm:pt>
    <dgm:pt modelId="{75508DFC-5016-4711-AE7D-A8F6E61822E8}" type="sibTrans" cxnId="{18C5BEFD-CB62-4D40-9276-26E79517FDEF}">
      <dgm:prSet/>
      <dgm:spPr/>
      <dgm:t>
        <a:bodyPr/>
        <a:lstStyle/>
        <a:p>
          <a:endParaRPr lang="en-US"/>
        </a:p>
      </dgm:t>
    </dgm:pt>
    <dgm:pt modelId="{8A4322B4-2602-48F9-B707-4A4868CD47F6}">
      <dgm:prSet/>
      <dgm:spPr/>
      <dgm:t>
        <a:bodyPr/>
        <a:lstStyle/>
        <a:p>
          <a:r>
            <a:rPr lang="en-US"/>
            <a:t>TBH19      Master, SW Engineer</a:t>
          </a:r>
        </a:p>
      </dgm:t>
    </dgm:pt>
    <dgm:pt modelId="{0C6BE642-2D4D-4E4C-B31E-05AC3E5BEFDA}" type="parTrans" cxnId="{B9C0FD71-129A-485B-8524-B4D38C88FDC5}">
      <dgm:prSet/>
      <dgm:spPr/>
      <dgm:t>
        <a:bodyPr/>
        <a:lstStyle/>
        <a:p>
          <a:endParaRPr lang="en-US"/>
        </a:p>
      </dgm:t>
    </dgm:pt>
    <dgm:pt modelId="{5286A602-CC8C-42DA-A6D1-647140FD6F29}" type="sibTrans" cxnId="{B9C0FD71-129A-485B-8524-B4D38C88FDC5}">
      <dgm:prSet/>
      <dgm:spPr/>
      <dgm:t>
        <a:bodyPr/>
        <a:lstStyle/>
        <a:p>
          <a:endParaRPr lang="en-US"/>
        </a:p>
      </dgm:t>
    </dgm:pt>
    <dgm:pt modelId="{761EE0BC-ADC3-46B0-AA2A-8CCB7BCB5F9D}">
      <dgm:prSet/>
      <dgm:spPr/>
      <dgm:t>
        <a:bodyPr/>
        <a:lstStyle/>
        <a:p>
          <a:r>
            <a:rPr lang="en-US"/>
            <a:t>QA		</a:t>
          </a:r>
        </a:p>
      </dgm:t>
    </dgm:pt>
    <dgm:pt modelId="{359E42A0-BAE7-4FF3-9670-97672BCB0076}" type="parTrans" cxnId="{1CAD95A3-0B6A-405D-8180-903492DFF162}">
      <dgm:prSet/>
      <dgm:spPr/>
      <dgm:t>
        <a:bodyPr/>
        <a:lstStyle/>
        <a:p>
          <a:endParaRPr lang="en-US"/>
        </a:p>
      </dgm:t>
    </dgm:pt>
    <dgm:pt modelId="{2859ADC1-FEBD-4A90-B62C-ED031DC005DD}" type="sibTrans" cxnId="{1CAD95A3-0B6A-405D-8180-903492DFF162}">
      <dgm:prSet/>
      <dgm:spPr/>
      <dgm:t>
        <a:bodyPr/>
        <a:lstStyle/>
        <a:p>
          <a:endParaRPr lang="en-US"/>
        </a:p>
      </dgm:t>
    </dgm:pt>
    <dgm:pt modelId="{04726EFE-CB76-49A0-ADEB-5DF8969BE6AE}">
      <dgm:prSet/>
      <dgm:spPr/>
      <dgm:t>
        <a:bodyPr/>
        <a:lstStyle/>
        <a:p>
          <a:r>
            <a:rPr lang="en-US"/>
            <a:t>TBH20    Software Engineer</a:t>
          </a:r>
        </a:p>
      </dgm:t>
    </dgm:pt>
    <dgm:pt modelId="{158B463F-9E3A-4EF3-8695-797D0483ECB8}" type="parTrans" cxnId="{E13B9C8F-5010-4D73-ACC9-890EA9EDD9FD}">
      <dgm:prSet/>
      <dgm:spPr/>
      <dgm:t>
        <a:bodyPr/>
        <a:lstStyle/>
        <a:p>
          <a:endParaRPr lang="en-US"/>
        </a:p>
      </dgm:t>
    </dgm:pt>
    <dgm:pt modelId="{CF95FB81-62E5-4D25-9177-991AA90BDF1A}" type="sibTrans" cxnId="{E13B9C8F-5010-4D73-ACC9-890EA9EDD9FD}">
      <dgm:prSet/>
      <dgm:spPr/>
      <dgm:t>
        <a:bodyPr/>
        <a:lstStyle/>
        <a:p>
          <a:endParaRPr lang="en-US"/>
        </a:p>
      </dgm:t>
    </dgm:pt>
    <dgm:pt modelId="{08393B2E-9BF4-49A2-9972-ADDB71CC4F2B}" type="pres">
      <dgm:prSet presAssocID="{E132558C-8268-4AD9-A511-4ADB8381629A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090869D9-F0E4-40E3-8F51-FD825AE5EA23}" type="pres">
      <dgm:prSet presAssocID="{977F79CC-323B-4E78-8EF3-702643E2E835}" presName="root" presStyleCnt="0"/>
      <dgm:spPr/>
    </dgm:pt>
    <dgm:pt modelId="{68ED236F-1A18-4149-816B-74D8FF23D1CC}" type="pres">
      <dgm:prSet presAssocID="{977F79CC-323B-4E78-8EF3-702643E2E835}" presName="rootComposite" presStyleCnt="0"/>
      <dgm:spPr/>
    </dgm:pt>
    <dgm:pt modelId="{B2D680F0-A010-4E03-A083-CAB8FA1743E9}" type="pres">
      <dgm:prSet presAssocID="{977F79CC-323B-4E78-8EF3-702643E2E835}" presName="rootText" presStyleLbl="node1" presStyleIdx="0" presStyleCnt="4"/>
      <dgm:spPr/>
      <dgm:t>
        <a:bodyPr/>
        <a:lstStyle/>
        <a:p>
          <a:endParaRPr lang="en-US"/>
        </a:p>
      </dgm:t>
    </dgm:pt>
    <dgm:pt modelId="{E812F947-41F5-45EC-A067-21EAACE04596}" type="pres">
      <dgm:prSet presAssocID="{977F79CC-323B-4E78-8EF3-702643E2E835}" presName="rootConnector" presStyleLbl="node1" presStyleIdx="0" presStyleCnt="4"/>
      <dgm:spPr/>
      <dgm:t>
        <a:bodyPr/>
        <a:lstStyle/>
        <a:p>
          <a:endParaRPr lang="en-US"/>
        </a:p>
      </dgm:t>
    </dgm:pt>
    <dgm:pt modelId="{ABFB88F1-D49E-46E6-B74B-B72A9E250E1A}" type="pres">
      <dgm:prSet presAssocID="{977F79CC-323B-4E78-8EF3-702643E2E835}" presName="childShape" presStyleCnt="0"/>
      <dgm:spPr/>
    </dgm:pt>
    <dgm:pt modelId="{C9C2A173-802E-49BF-9394-D469A762FDA4}" type="pres">
      <dgm:prSet presAssocID="{0C6BE642-2D4D-4E4C-B31E-05AC3E5BEFDA}" presName="Name13" presStyleLbl="parChTrans1D2" presStyleIdx="0" presStyleCnt="6"/>
      <dgm:spPr/>
      <dgm:t>
        <a:bodyPr/>
        <a:lstStyle/>
        <a:p>
          <a:endParaRPr lang="en-US"/>
        </a:p>
      </dgm:t>
    </dgm:pt>
    <dgm:pt modelId="{3FCF2F63-D731-455A-8F28-C20463C92B86}" type="pres">
      <dgm:prSet presAssocID="{8A4322B4-2602-48F9-B707-4A4868CD47F6}" presName="childText" presStyleLbl="bgAcc1" presStyleIdx="0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4A66692-F918-4560-B7D0-AA610920448D}" type="pres">
      <dgm:prSet presAssocID="{B2C4F78F-4650-486B-A353-765671F01744}" presName="root" presStyleCnt="0"/>
      <dgm:spPr/>
    </dgm:pt>
    <dgm:pt modelId="{87963E18-F63B-43A1-8053-39F3368E3073}" type="pres">
      <dgm:prSet presAssocID="{B2C4F78F-4650-486B-A353-765671F01744}" presName="rootComposite" presStyleCnt="0"/>
      <dgm:spPr/>
    </dgm:pt>
    <dgm:pt modelId="{F335FC0D-AFCD-4BB3-9EB4-3C2221CE65FE}" type="pres">
      <dgm:prSet presAssocID="{B2C4F78F-4650-486B-A353-765671F01744}" presName="rootText" presStyleLbl="node1" presStyleIdx="1" presStyleCnt="4"/>
      <dgm:spPr/>
      <dgm:t>
        <a:bodyPr/>
        <a:lstStyle/>
        <a:p>
          <a:endParaRPr lang="en-US"/>
        </a:p>
      </dgm:t>
    </dgm:pt>
    <dgm:pt modelId="{1AFECCF2-0567-49A5-8BB9-56BB2ACFACAE}" type="pres">
      <dgm:prSet presAssocID="{B2C4F78F-4650-486B-A353-765671F01744}" presName="rootConnector" presStyleLbl="node1" presStyleIdx="1" presStyleCnt="4"/>
      <dgm:spPr/>
      <dgm:t>
        <a:bodyPr/>
        <a:lstStyle/>
        <a:p>
          <a:endParaRPr lang="en-US"/>
        </a:p>
      </dgm:t>
    </dgm:pt>
    <dgm:pt modelId="{E144E128-2796-46F1-9931-466FC088E55F}" type="pres">
      <dgm:prSet presAssocID="{B2C4F78F-4650-486B-A353-765671F01744}" presName="childShape" presStyleCnt="0"/>
      <dgm:spPr/>
    </dgm:pt>
    <dgm:pt modelId="{C8CBA4CB-61C4-422C-BCB3-E74BD27B889C}" type="pres">
      <dgm:prSet presAssocID="{440B25CA-CE37-4C1E-9959-8AD51ED7D649}" presName="Name13" presStyleLbl="parChTrans1D2" presStyleIdx="1" presStyleCnt="6"/>
      <dgm:spPr/>
      <dgm:t>
        <a:bodyPr/>
        <a:lstStyle/>
        <a:p>
          <a:endParaRPr lang="en-US"/>
        </a:p>
      </dgm:t>
    </dgm:pt>
    <dgm:pt modelId="{972287B0-4968-4004-B9D0-F0109E2FFC53}" type="pres">
      <dgm:prSet presAssocID="{3D9F2B95-E066-4A3B-8FB6-A79C13F1F2E8}" presName="childText" presStyleLbl="bgAcc1" presStyleIdx="1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3B9332F-86FC-44BC-9702-5BD71E56F626}" type="pres">
      <dgm:prSet presAssocID="{A2E5DD5F-8FD1-4A6E-AA3B-164F2954D821}" presName="Name13" presStyleLbl="parChTrans1D2" presStyleIdx="2" presStyleCnt="6"/>
      <dgm:spPr/>
      <dgm:t>
        <a:bodyPr/>
        <a:lstStyle/>
        <a:p>
          <a:endParaRPr lang="en-US"/>
        </a:p>
      </dgm:t>
    </dgm:pt>
    <dgm:pt modelId="{CDAA47CB-E2A9-4D65-9C68-E168D3C5ACCC}" type="pres">
      <dgm:prSet presAssocID="{71039473-88E5-4A0A-8BC2-2B5F40378AC3}" presName="childText" presStyleLbl="bgAcc1" presStyleIdx="2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02559A7-54B4-4363-B481-BD64BC787562}" type="pres">
      <dgm:prSet presAssocID="{ADB2FDC6-9387-4E9E-B75D-8AA51FCCD630}" presName="Name13" presStyleLbl="parChTrans1D2" presStyleIdx="3" presStyleCnt="6"/>
      <dgm:spPr/>
      <dgm:t>
        <a:bodyPr/>
        <a:lstStyle/>
        <a:p>
          <a:endParaRPr lang="en-US"/>
        </a:p>
      </dgm:t>
    </dgm:pt>
    <dgm:pt modelId="{B6BA926F-F6E1-4AD2-A452-88D9228BE904}" type="pres">
      <dgm:prSet presAssocID="{42467835-C281-4D1F-81AC-1B01BD62445B}" presName="childText" presStyleLbl="bgAcc1" presStyleIdx="3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59B8746-B1F1-4C46-BB5A-C78FB57158E4}" type="pres">
      <dgm:prSet presAssocID="{761EE0BC-ADC3-46B0-AA2A-8CCB7BCB5F9D}" presName="root" presStyleCnt="0"/>
      <dgm:spPr/>
    </dgm:pt>
    <dgm:pt modelId="{46794731-206D-4123-AF9D-E3B41421D910}" type="pres">
      <dgm:prSet presAssocID="{761EE0BC-ADC3-46B0-AA2A-8CCB7BCB5F9D}" presName="rootComposite" presStyleCnt="0"/>
      <dgm:spPr/>
    </dgm:pt>
    <dgm:pt modelId="{C9B39505-CC95-4F6B-929B-2CA7B4ACE59B}" type="pres">
      <dgm:prSet presAssocID="{761EE0BC-ADC3-46B0-AA2A-8CCB7BCB5F9D}" presName="rootText" presStyleLbl="node1" presStyleIdx="2" presStyleCnt="4"/>
      <dgm:spPr/>
      <dgm:t>
        <a:bodyPr/>
        <a:lstStyle/>
        <a:p>
          <a:endParaRPr lang="en-US"/>
        </a:p>
      </dgm:t>
    </dgm:pt>
    <dgm:pt modelId="{880A27C6-2A6A-4F1A-A40D-D1A960DF3E87}" type="pres">
      <dgm:prSet presAssocID="{761EE0BC-ADC3-46B0-AA2A-8CCB7BCB5F9D}" presName="rootConnector" presStyleLbl="node1" presStyleIdx="2" presStyleCnt="4"/>
      <dgm:spPr/>
      <dgm:t>
        <a:bodyPr/>
        <a:lstStyle/>
        <a:p>
          <a:endParaRPr lang="en-US"/>
        </a:p>
      </dgm:t>
    </dgm:pt>
    <dgm:pt modelId="{D71BB3A2-40D2-4156-8278-47CC6C132C5F}" type="pres">
      <dgm:prSet presAssocID="{761EE0BC-ADC3-46B0-AA2A-8CCB7BCB5F9D}" presName="childShape" presStyleCnt="0"/>
      <dgm:spPr/>
    </dgm:pt>
    <dgm:pt modelId="{CFE3BA37-0A2C-4EAA-B7FD-81A2EEB370ED}" type="pres">
      <dgm:prSet presAssocID="{158B463F-9E3A-4EF3-8695-797D0483ECB8}" presName="Name13" presStyleLbl="parChTrans1D2" presStyleIdx="4" presStyleCnt="6"/>
      <dgm:spPr/>
      <dgm:t>
        <a:bodyPr/>
        <a:lstStyle/>
        <a:p>
          <a:endParaRPr lang="en-US"/>
        </a:p>
      </dgm:t>
    </dgm:pt>
    <dgm:pt modelId="{E7266D76-52E9-49E9-BB6F-93DBD536017E}" type="pres">
      <dgm:prSet presAssocID="{04726EFE-CB76-49A0-ADEB-5DF8969BE6AE}" presName="childText" presStyleLbl="bgAcc1" presStyleIdx="4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E5E7C84-45E2-4D44-81BA-92E6F16D1DC7}" type="pres">
      <dgm:prSet presAssocID="{CA59E0EF-2B85-4F90-9F5A-7F43DABA438B}" presName="root" presStyleCnt="0"/>
      <dgm:spPr/>
      <dgm:t>
        <a:bodyPr/>
        <a:lstStyle/>
        <a:p>
          <a:endParaRPr lang="en-US"/>
        </a:p>
      </dgm:t>
    </dgm:pt>
    <dgm:pt modelId="{CE0A9FCF-4BA8-4D8E-B3C2-2E755A60D343}" type="pres">
      <dgm:prSet presAssocID="{CA59E0EF-2B85-4F90-9F5A-7F43DABA438B}" presName="rootComposite" presStyleCnt="0"/>
      <dgm:spPr/>
      <dgm:t>
        <a:bodyPr/>
        <a:lstStyle/>
        <a:p>
          <a:endParaRPr lang="en-US"/>
        </a:p>
      </dgm:t>
    </dgm:pt>
    <dgm:pt modelId="{4A176F58-9743-4EC1-8B6B-626B45EB2E65}" type="pres">
      <dgm:prSet presAssocID="{CA59E0EF-2B85-4F90-9F5A-7F43DABA438B}" presName="rootText" presStyleLbl="node1" presStyleIdx="3" presStyleCnt="4"/>
      <dgm:spPr/>
      <dgm:t>
        <a:bodyPr/>
        <a:lstStyle/>
        <a:p>
          <a:endParaRPr lang="en-US"/>
        </a:p>
      </dgm:t>
    </dgm:pt>
    <dgm:pt modelId="{8258AD6E-72BA-4E8F-B0A6-2D6BD193FA88}" type="pres">
      <dgm:prSet presAssocID="{CA59E0EF-2B85-4F90-9F5A-7F43DABA438B}" presName="rootConnector" presStyleLbl="node1" presStyleIdx="3" presStyleCnt="4"/>
      <dgm:spPr/>
      <dgm:t>
        <a:bodyPr/>
        <a:lstStyle/>
        <a:p>
          <a:endParaRPr lang="en-US"/>
        </a:p>
      </dgm:t>
    </dgm:pt>
    <dgm:pt modelId="{82266056-8E8F-4AE1-A5E2-07B03879A433}" type="pres">
      <dgm:prSet presAssocID="{CA59E0EF-2B85-4F90-9F5A-7F43DABA438B}" presName="childShape" presStyleCnt="0"/>
      <dgm:spPr/>
      <dgm:t>
        <a:bodyPr/>
        <a:lstStyle/>
        <a:p>
          <a:endParaRPr lang="en-US"/>
        </a:p>
      </dgm:t>
    </dgm:pt>
    <dgm:pt modelId="{7C902844-6D5E-4395-88EC-41CC1910674C}" type="pres">
      <dgm:prSet presAssocID="{2F765CCB-FD7F-41C2-8CAD-82CCEE667A32}" presName="Name13" presStyleLbl="parChTrans1D2" presStyleIdx="5" presStyleCnt="6"/>
      <dgm:spPr/>
      <dgm:t>
        <a:bodyPr/>
        <a:lstStyle/>
        <a:p>
          <a:endParaRPr lang="en-US"/>
        </a:p>
      </dgm:t>
    </dgm:pt>
    <dgm:pt modelId="{EE9B878B-CB88-437B-895B-6C7241B7C97C}" type="pres">
      <dgm:prSet presAssocID="{3B130AA7-D6BE-4367-AC0B-5A3087E10CB3}" presName="childText" presStyleLbl="bgAcc1" presStyleIdx="5" presStyleCnt="6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B9C0FD71-129A-485B-8524-B4D38C88FDC5}" srcId="{977F79CC-323B-4E78-8EF3-702643E2E835}" destId="{8A4322B4-2602-48F9-B707-4A4868CD47F6}" srcOrd="0" destOrd="0" parTransId="{0C6BE642-2D4D-4E4C-B31E-05AC3E5BEFDA}" sibTransId="{5286A602-CC8C-42DA-A6D1-647140FD6F29}"/>
    <dgm:cxn modelId="{E4370D33-9923-4D13-A80E-6752FEC75D13}" type="presOf" srcId="{0C6BE642-2D4D-4E4C-B31E-05AC3E5BEFDA}" destId="{C9C2A173-802E-49BF-9394-D469A762FDA4}" srcOrd="0" destOrd="0" presId="urn:microsoft.com/office/officeart/2005/8/layout/hierarchy3"/>
    <dgm:cxn modelId="{4F445B76-3405-4E29-BA42-7384E574E918}" type="presOf" srcId="{761EE0BC-ADC3-46B0-AA2A-8CCB7BCB5F9D}" destId="{C9B39505-CC95-4F6B-929B-2CA7B4ACE59B}" srcOrd="0" destOrd="0" presId="urn:microsoft.com/office/officeart/2005/8/layout/hierarchy3"/>
    <dgm:cxn modelId="{BBB5BC8A-0541-49B6-96F7-119E83CB685C}" type="presOf" srcId="{3D9F2B95-E066-4A3B-8FB6-A79C13F1F2E8}" destId="{972287B0-4968-4004-B9D0-F0109E2FFC53}" srcOrd="0" destOrd="0" presId="urn:microsoft.com/office/officeart/2005/8/layout/hierarchy3"/>
    <dgm:cxn modelId="{8AEF60A1-C91A-437F-81E3-3C83DC76A27C}" type="presOf" srcId="{977F79CC-323B-4E78-8EF3-702643E2E835}" destId="{B2D680F0-A010-4E03-A083-CAB8FA1743E9}" srcOrd="0" destOrd="0" presId="urn:microsoft.com/office/officeart/2005/8/layout/hierarchy3"/>
    <dgm:cxn modelId="{E2A76877-7237-4786-832D-7FA19967F517}" srcId="{B2C4F78F-4650-486B-A353-765671F01744}" destId="{71039473-88E5-4A0A-8BC2-2B5F40378AC3}" srcOrd="1" destOrd="0" parTransId="{A2E5DD5F-8FD1-4A6E-AA3B-164F2954D821}" sibTransId="{A04C3662-BE20-495F-9DA4-8734F7FA64D8}"/>
    <dgm:cxn modelId="{5238A125-226F-417C-A170-303C2214F910}" srcId="{CA59E0EF-2B85-4F90-9F5A-7F43DABA438B}" destId="{3B130AA7-D6BE-4367-AC0B-5A3087E10CB3}" srcOrd="0" destOrd="0" parTransId="{2F765CCB-FD7F-41C2-8CAD-82CCEE667A32}" sibTransId="{D372CC97-89BE-4706-BD83-3E253C541BAE}"/>
    <dgm:cxn modelId="{8CCE7715-A169-4C7F-BEAD-6361BD27655C}" srcId="{B2C4F78F-4650-486B-A353-765671F01744}" destId="{42467835-C281-4D1F-81AC-1B01BD62445B}" srcOrd="2" destOrd="0" parTransId="{ADB2FDC6-9387-4E9E-B75D-8AA51FCCD630}" sibTransId="{2FA75F10-526F-44A1-BA65-E602C1B2FC53}"/>
    <dgm:cxn modelId="{3EE0A563-81C7-4FA3-B99C-CE45E9CDB89E}" type="presOf" srcId="{761EE0BC-ADC3-46B0-AA2A-8CCB7BCB5F9D}" destId="{880A27C6-2A6A-4F1A-A40D-D1A960DF3E87}" srcOrd="1" destOrd="0" presId="urn:microsoft.com/office/officeart/2005/8/layout/hierarchy3"/>
    <dgm:cxn modelId="{8110CD58-7899-4D23-82FA-25B6C9DBC04F}" type="presOf" srcId="{977F79CC-323B-4E78-8EF3-702643E2E835}" destId="{E812F947-41F5-45EC-A067-21EAACE04596}" srcOrd="1" destOrd="0" presId="urn:microsoft.com/office/officeart/2005/8/layout/hierarchy3"/>
    <dgm:cxn modelId="{F41E263D-C96A-493A-B138-4EBA3BB384F5}" type="presOf" srcId="{42467835-C281-4D1F-81AC-1B01BD62445B}" destId="{B6BA926F-F6E1-4AD2-A452-88D9228BE904}" srcOrd="0" destOrd="0" presId="urn:microsoft.com/office/officeart/2005/8/layout/hierarchy3"/>
    <dgm:cxn modelId="{F083AFD3-E64B-4F28-843D-1EF427FA7504}" type="presOf" srcId="{71039473-88E5-4A0A-8BC2-2B5F40378AC3}" destId="{CDAA47CB-E2A9-4D65-9C68-E168D3C5ACCC}" srcOrd="0" destOrd="0" presId="urn:microsoft.com/office/officeart/2005/8/layout/hierarchy3"/>
    <dgm:cxn modelId="{18C5BEFD-CB62-4D40-9276-26E79517FDEF}" srcId="{E132558C-8268-4AD9-A511-4ADB8381629A}" destId="{977F79CC-323B-4E78-8EF3-702643E2E835}" srcOrd="0" destOrd="0" parTransId="{1201B371-5EC5-4C94-8CE6-FC71C6879483}" sibTransId="{75508DFC-5016-4711-AE7D-A8F6E61822E8}"/>
    <dgm:cxn modelId="{F367881B-030B-4BBA-BB47-CB63A2664A95}" type="presOf" srcId="{CA59E0EF-2B85-4F90-9F5A-7F43DABA438B}" destId="{4A176F58-9743-4EC1-8B6B-626B45EB2E65}" srcOrd="0" destOrd="0" presId="urn:microsoft.com/office/officeart/2005/8/layout/hierarchy3"/>
    <dgm:cxn modelId="{0A48258E-9C31-4B92-87B4-F4C17A0E71E3}" type="presOf" srcId="{B2C4F78F-4650-486B-A353-765671F01744}" destId="{1AFECCF2-0567-49A5-8BB9-56BB2ACFACAE}" srcOrd="1" destOrd="0" presId="urn:microsoft.com/office/officeart/2005/8/layout/hierarchy3"/>
    <dgm:cxn modelId="{F173D4F9-8748-400E-8CFE-049567F686C4}" type="presOf" srcId="{8A4322B4-2602-48F9-B707-4A4868CD47F6}" destId="{3FCF2F63-D731-455A-8F28-C20463C92B86}" srcOrd="0" destOrd="0" presId="urn:microsoft.com/office/officeart/2005/8/layout/hierarchy3"/>
    <dgm:cxn modelId="{6059B9F2-1684-41CE-A9A9-66A45A57355A}" type="presOf" srcId="{ADB2FDC6-9387-4E9E-B75D-8AA51FCCD630}" destId="{A02559A7-54B4-4363-B481-BD64BC787562}" srcOrd="0" destOrd="0" presId="urn:microsoft.com/office/officeart/2005/8/layout/hierarchy3"/>
    <dgm:cxn modelId="{C3F39FC7-8294-4706-B327-101237FD5FC8}" srcId="{B2C4F78F-4650-486B-A353-765671F01744}" destId="{3D9F2B95-E066-4A3B-8FB6-A79C13F1F2E8}" srcOrd="0" destOrd="0" parTransId="{440B25CA-CE37-4C1E-9959-8AD51ED7D649}" sibTransId="{31AD836D-2E5D-455A-BB80-A75D9B9C95FE}"/>
    <dgm:cxn modelId="{AED1847C-FC8C-2D45-928F-8F028342DC98}" type="presOf" srcId="{E132558C-8268-4AD9-A511-4ADB8381629A}" destId="{08393B2E-9BF4-49A2-9972-ADDB71CC4F2B}" srcOrd="0" destOrd="0" presId="urn:microsoft.com/office/officeart/2005/8/layout/hierarchy3"/>
    <dgm:cxn modelId="{1CAD95A3-0B6A-405D-8180-903492DFF162}" srcId="{E132558C-8268-4AD9-A511-4ADB8381629A}" destId="{761EE0BC-ADC3-46B0-AA2A-8CCB7BCB5F9D}" srcOrd="2" destOrd="0" parTransId="{359E42A0-BAE7-4FF3-9670-97672BCB0076}" sibTransId="{2859ADC1-FEBD-4A90-B62C-ED031DC005DD}"/>
    <dgm:cxn modelId="{2CD72327-41FB-4990-A118-84B459C96F78}" type="presOf" srcId="{A2E5DD5F-8FD1-4A6E-AA3B-164F2954D821}" destId="{A3B9332F-86FC-44BC-9702-5BD71E56F626}" srcOrd="0" destOrd="0" presId="urn:microsoft.com/office/officeart/2005/8/layout/hierarchy3"/>
    <dgm:cxn modelId="{383ADC5F-DB36-4EE8-9FCA-FE84291F7FD7}" type="presOf" srcId="{B2C4F78F-4650-486B-A353-765671F01744}" destId="{F335FC0D-AFCD-4BB3-9EB4-3C2221CE65FE}" srcOrd="0" destOrd="0" presId="urn:microsoft.com/office/officeart/2005/8/layout/hierarchy3"/>
    <dgm:cxn modelId="{2A660626-F11C-4B1F-808B-E92DD601D54C}" type="presOf" srcId="{CA59E0EF-2B85-4F90-9F5A-7F43DABA438B}" destId="{8258AD6E-72BA-4E8F-B0A6-2D6BD193FA88}" srcOrd="1" destOrd="0" presId="urn:microsoft.com/office/officeart/2005/8/layout/hierarchy3"/>
    <dgm:cxn modelId="{E13B9C8F-5010-4D73-ACC9-890EA9EDD9FD}" srcId="{761EE0BC-ADC3-46B0-AA2A-8CCB7BCB5F9D}" destId="{04726EFE-CB76-49A0-ADEB-5DF8969BE6AE}" srcOrd="0" destOrd="0" parTransId="{158B463F-9E3A-4EF3-8695-797D0483ECB8}" sibTransId="{CF95FB81-62E5-4D25-9177-991AA90BDF1A}"/>
    <dgm:cxn modelId="{E4B2ECE1-F456-42E1-A996-8D80D02D8DDB}" srcId="{E132558C-8268-4AD9-A511-4ADB8381629A}" destId="{CA59E0EF-2B85-4F90-9F5A-7F43DABA438B}" srcOrd="3" destOrd="0" parTransId="{3D47AB9A-2BDA-4DBB-AA2A-5F0805EAF4D4}" sibTransId="{B9EB1ACD-C08A-429F-AD4F-CFA84C8373EE}"/>
    <dgm:cxn modelId="{6D8296B3-51C5-4730-BEE8-15CF8E677F0F}" type="presOf" srcId="{2F765CCB-FD7F-41C2-8CAD-82CCEE667A32}" destId="{7C902844-6D5E-4395-88EC-41CC1910674C}" srcOrd="0" destOrd="0" presId="urn:microsoft.com/office/officeart/2005/8/layout/hierarchy3"/>
    <dgm:cxn modelId="{C1EFC7BA-4D69-4FA6-9DE9-6F5B21367F74}" type="presOf" srcId="{440B25CA-CE37-4C1E-9959-8AD51ED7D649}" destId="{C8CBA4CB-61C4-422C-BCB3-E74BD27B889C}" srcOrd="0" destOrd="0" presId="urn:microsoft.com/office/officeart/2005/8/layout/hierarchy3"/>
    <dgm:cxn modelId="{05E27901-43F7-4FCC-A967-24A443E2954E}" type="presOf" srcId="{158B463F-9E3A-4EF3-8695-797D0483ECB8}" destId="{CFE3BA37-0A2C-4EAA-B7FD-81A2EEB370ED}" srcOrd="0" destOrd="0" presId="urn:microsoft.com/office/officeart/2005/8/layout/hierarchy3"/>
    <dgm:cxn modelId="{65F3F69A-0FDA-4C29-932E-FFD53CBDBB89}" type="presOf" srcId="{3B130AA7-D6BE-4367-AC0B-5A3087E10CB3}" destId="{EE9B878B-CB88-437B-895B-6C7241B7C97C}" srcOrd="0" destOrd="0" presId="urn:microsoft.com/office/officeart/2005/8/layout/hierarchy3"/>
    <dgm:cxn modelId="{AF374DD7-BEDC-4FDB-9E81-21B8464D0ACC}" type="presOf" srcId="{04726EFE-CB76-49A0-ADEB-5DF8969BE6AE}" destId="{E7266D76-52E9-49E9-BB6F-93DBD536017E}" srcOrd="0" destOrd="0" presId="urn:microsoft.com/office/officeart/2005/8/layout/hierarchy3"/>
    <dgm:cxn modelId="{5FC17B7A-7916-460D-9DB7-346578454CF2}" srcId="{E132558C-8268-4AD9-A511-4ADB8381629A}" destId="{B2C4F78F-4650-486B-A353-765671F01744}" srcOrd="1" destOrd="0" parTransId="{A69BC4F1-C064-44EA-9CBB-09B16B4607C7}" sibTransId="{AB45189D-11DA-4490-941A-8539486ED071}"/>
    <dgm:cxn modelId="{8944CAD3-A029-469B-9DA0-D5DEAD3A5785}" type="presParOf" srcId="{08393B2E-9BF4-49A2-9972-ADDB71CC4F2B}" destId="{090869D9-F0E4-40E3-8F51-FD825AE5EA23}" srcOrd="0" destOrd="0" presId="urn:microsoft.com/office/officeart/2005/8/layout/hierarchy3"/>
    <dgm:cxn modelId="{45CFEE8F-923A-49F0-816C-2FB9A61ABEAF}" type="presParOf" srcId="{090869D9-F0E4-40E3-8F51-FD825AE5EA23}" destId="{68ED236F-1A18-4149-816B-74D8FF23D1CC}" srcOrd="0" destOrd="0" presId="urn:microsoft.com/office/officeart/2005/8/layout/hierarchy3"/>
    <dgm:cxn modelId="{3796296D-87FA-48F9-881F-E499CE3B2D57}" type="presParOf" srcId="{68ED236F-1A18-4149-816B-74D8FF23D1CC}" destId="{B2D680F0-A010-4E03-A083-CAB8FA1743E9}" srcOrd="0" destOrd="0" presId="urn:microsoft.com/office/officeart/2005/8/layout/hierarchy3"/>
    <dgm:cxn modelId="{94FC0ACF-3FAD-4C76-BD5E-7A4DE622542C}" type="presParOf" srcId="{68ED236F-1A18-4149-816B-74D8FF23D1CC}" destId="{E812F947-41F5-45EC-A067-21EAACE04596}" srcOrd="1" destOrd="0" presId="urn:microsoft.com/office/officeart/2005/8/layout/hierarchy3"/>
    <dgm:cxn modelId="{375FF642-23AE-4246-A2F6-4A1CCE1495B6}" type="presParOf" srcId="{090869D9-F0E4-40E3-8F51-FD825AE5EA23}" destId="{ABFB88F1-D49E-46E6-B74B-B72A9E250E1A}" srcOrd="1" destOrd="0" presId="urn:microsoft.com/office/officeart/2005/8/layout/hierarchy3"/>
    <dgm:cxn modelId="{0C16137E-FAE4-4F4F-AEC1-44D7B166E54A}" type="presParOf" srcId="{ABFB88F1-D49E-46E6-B74B-B72A9E250E1A}" destId="{C9C2A173-802E-49BF-9394-D469A762FDA4}" srcOrd="0" destOrd="0" presId="urn:microsoft.com/office/officeart/2005/8/layout/hierarchy3"/>
    <dgm:cxn modelId="{681D35B6-D1CC-4839-BAE6-54FB27897F9B}" type="presParOf" srcId="{ABFB88F1-D49E-46E6-B74B-B72A9E250E1A}" destId="{3FCF2F63-D731-455A-8F28-C20463C92B86}" srcOrd="1" destOrd="0" presId="urn:microsoft.com/office/officeart/2005/8/layout/hierarchy3"/>
    <dgm:cxn modelId="{016B665C-138A-4983-B9BA-B9D548FAB9C8}" type="presParOf" srcId="{08393B2E-9BF4-49A2-9972-ADDB71CC4F2B}" destId="{A4A66692-F918-4560-B7D0-AA610920448D}" srcOrd="1" destOrd="0" presId="urn:microsoft.com/office/officeart/2005/8/layout/hierarchy3"/>
    <dgm:cxn modelId="{D37D5755-BA46-492B-827D-280623CA7A98}" type="presParOf" srcId="{A4A66692-F918-4560-B7D0-AA610920448D}" destId="{87963E18-F63B-43A1-8053-39F3368E3073}" srcOrd="0" destOrd="0" presId="urn:microsoft.com/office/officeart/2005/8/layout/hierarchy3"/>
    <dgm:cxn modelId="{4D987BF1-ABF6-451F-8049-DB78D5875BF3}" type="presParOf" srcId="{87963E18-F63B-43A1-8053-39F3368E3073}" destId="{F335FC0D-AFCD-4BB3-9EB4-3C2221CE65FE}" srcOrd="0" destOrd="0" presId="urn:microsoft.com/office/officeart/2005/8/layout/hierarchy3"/>
    <dgm:cxn modelId="{51FA7750-E9A1-4CBB-9723-10F2A1DD247D}" type="presParOf" srcId="{87963E18-F63B-43A1-8053-39F3368E3073}" destId="{1AFECCF2-0567-49A5-8BB9-56BB2ACFACAE}" srcOrd="1" destOrd="0" presId="urn:microsoft.com/office/officeart/2005/8/layout/hierarchy3"/>
    <dgm:cxn modelId="{425B75EF-B834-4537-9ACD-1D76238D53F1}" type="presParOf" srcId="{A4A66692-F918-4560-B7D0-AA610920448D}" destId="{E144E128-2796-46F1-9931-466FC088E55F}" srcOrd="1" destOrd="0" presId="urn:microsoft.com/office/officeart/2005/8/layout/hierarchy3"/>
    <dgm:cxn modelId="{008C3C23-363B-4680-B6A2-87CFBCE43C1C}" type="presParOf" srcId="{E144E128-2796-46F1-9931-466FC088E55F}" destId="{C8CBA4CB-61C4-422C-BCB3-E74BD27B889C}" srcOrd="0" destOrd="0" presId="urn:microsoft.com/office/officeart/2005/8/layout/hierarchy3"/>
    <dgm:cxn modelId="{4F6B44FA-0DE8-4BBD-AE60-9DCC77A3627D}" type="presParOf" srcId="{E144E128-2796-46F1-9931-466FC088E55F}" destId="{972287B0-4968-4004-B9D0-F0109E2FFC53}" srcOrd="1" destOrd="0" presId="urn:microsoft.com/office/officeart/2005/8/layout/hierarchy3"/>
    <dgm:cxn modelId="{BDEA470C-2E6A-41F6-B130-3A9F800A6BBC}" type="presParOf" srcId="{E144E128-2796-46F1-9931-466FC088E55F}" destId="{A3B9332F-86FC-44BC-9702-5BD71E56F626}" srcOrd="2" destOrd="0" presId="urn:microsoft.com/office/officeart/2005/8/layout/hierarchy3"/>
    <dgm:cxn modelId="{514788BA-4F34-42CF-8638-15CA233F29D5}" type="presParOf" srcId="{E144E128-2796-46F1-9931-466FC088E55F}" destId="{CDAA47CB-E2A9-4D65-9C68-E168D3C5ACCC}" srcOrd="3" destOrd="0" presId="urn:microsoft.com/office/officeart/2005/8/layout/hierarchy3"/>
    <dgm:cxn modelId="{6111CBAF-4C8D-4B47-AC35-F2011AB49D98}" type="presParOf" srcId="{E144E128-2796-46F1-9931-466FC088E55F}" destId="{A02559A7-54B4-4363-B481-BD64BC787562}" srcOrd="4" destOrd="0" presId="urn:microsoft.com/office/officeart/2005/8/layout/hierarchy3"/>
    <dgm:cxn modelId="{1A828CF5-C800-4D60-8697-D7389B9D3052}" type="presParOf" srcId="{E144E128-2796-46F1-9931-466FC088E55F}" destId="{B6BA926F-F6E1-4AD2-A452-88D9228BE904}" srcOrd="5" destOrd="0" presId="urn:microsoft.com/office/officeart/2005/8/layout/hierarchy3"/>
    <dgm:cxn modelId="{A1B317E5-14A8-4B4A-8256-9C1B71852B8A}" type="presParOf" srcId="{08393B2E-9BF4-49A2-9972-ADDB71CC4F2B}" destId="{359B8746-B1F1-4C46-BB5A-C78FB57158E4}" srcOrd="2" destOrd="0" presId="urn:microsoft.com/office/officeart/2005/8/layout/hierarchy3"/>
    <dgm:cxn modelId="{11DC1CD7-7C65-4E50-BC95-5C4035ECCE75}" type="presParOf" srcId="{359B8746-B1F1-4C46-BB5A-C78FB57158E4}" destId="{46794731-206D-4123-AF9D-E3B41421D910}" srcOrd="0" destOrd="0" presId="urn:microsoft.com/office/officeart/2005/8/layout/hierarchy3"/>
    <dgm:cxn modelId="{D3531EE6-2BA1-4C16-AF13-3B1D16542B16}" type="presParOf" srcId="{46794731-206D-4123-AF9D-E3B41421D910}" destId="{C9B39505-CC95-4F6B-929B-2CA7B4ACE59B}" srcOrd="0" destOrd="0" presId="urn:microsoft.com/office/officeart/2005/8/layout/hierarchy3"/>
    <dgm:cxn modelId="{6C06A96C-3B3A-4C6E-89BE-47B4113B6387}" type="presParOf" srcId="{46794731-206D-4123-AF9D-E3B41421D910}" destId="{880A27C6-2A6A-4F1A-A40D-D1A960DF3E87}" srcOrd="1" destOrd="0" presId="urn:microsoft.com/office/officeart/2005/8/layout/hierarchy3"/>
    <dgm:cxn modelId="{F9953C44-7AC9-4624-9B9F-F79598310B0A}" type="presParOf" srcId="{359B8746-B1F1-4C46-BB5A-C78FB57158E4}" destId="{D71BB3A2-40D2-4156-8278-47CC6C132C5F}" srcOrd="1" destOrd="0" presId="urn:microsoft.com/office/officeart/2005/8/layout/hierarchy3"/>
    <dgm:cxn modelId="{6CE7E8D3-F539-4A7A-8226-B15F87B29472}" type="presParOf" srcId="{D71BB3A2-40D2-4156-8278-47CC6C132C5F}" destId="{CFE3BA37-0A2C-4EAA-B7FD-81A2EEB370ED}" srcOrd="0" destOrd="0" presId="urn:microsoft.com/office/officeart/2005/8/layout/hierarchy3"/>
    <dgm:cxn modelId="{3832937A-2E54-482E-AC35-274B193C8B7B}" type="presParOf" srcId="{D71BB3A2-40D2-4156-8278-47CC6C132C5F}" destId="{E7266D76-52E9-49E9-BB6F-93DBD536017E}" srcOrd="1" destOrd="0" presId="urn:microsoft.com/office/officeart/2005/8/layout/hierarchy3"/>
    <dgm:cxn modelId="{A1902C60-8F71-4EAD-AE3B-AD07EAA0D575}" type="presParOf" srcId="{08393B2E-9BF4-49A2-9972-ADDB71CC4F2B}" destId="{7E5E7C84-45E2-4D44-81BA-92E6F16D1DC7}" srcOrd="3" destOrd="0" presId="urn:microsoft.com/office/officeart/2005/8/layout/hierarchy3"/>
    <dgm:cxn modelId="{110BF9EC-6986-4098-9E63-8AA742787142}" type="presParOf" srcId="{7E5E7C84-45E2-4D44-81BA-92E6F16D1DC7}" destId="{CE0A9FCF-4BA8-4D8E-B3C2-2E755A60D343}" srcOrd="0" destOrd="0" presId="urn:microsoft.com/office/officeart/2005/8/layout/hierarchy3"/>
    <dgm:cxn modelId="{18DCF042-FBFB-484E-A1A0-8B90A6682271}" type="presParOf" srcId="{CE0A9FCF-4BA8-4D8E-B3C2-2E755A60D343}" destId="{4A176F58-9743-4EC1-8B6B-626B45EB2E65}" srcOrd="0" destOrd="0" presId="urn:microsoft.com/office/officeart/2005/8/layout/hierarchy3"/>
    <dgm:cxn modelId="{84DD16A4-AAEC-4713-BDC4-41BDF74980A4}" type="presParOf" srcId="{CE0A9FCF-4BA8-4D8E-B3C2-2E755A60D343}" destId="{8258AD6E-72BA-4E8F-B0A6-2D6BD193FA88}" srcOrd="1" destOrd="0" presId="urn:microsoft.com/office/officeart/2005/8/layout/hierarchy3"/>
    <dgm:cxn modelId="{3202F1D3-8109-422D-A9FC-EC9B0A62387C}" type="presParOf" srcId="{7E5E7C84-45E2-4D44-81BA-92E6F16D1DC7}" destId="{82266056-8E8F-4AE1-A5E2-07B03879A433}" srcOrd="1" destOrd="0" presId="urn:microsoft.com/office/officeart/2005/8/layout/hierarchy3"/>
    <dgm:cxn modelId="{134C25AD-28CC-4E39-BD6E-27010581DF14}" type="presParOf" srcId="{82266056-8E8F-4AE1-A5E2-07B03879A433}" destId="{7C902844-6D5E-4395-88EC-41CC1910674C}" srcOrd="0" destOrd="0" presId="urn:microsoft.com/office/officeart/2005/8/layout/hierarchy3"/>
    <dgm:cxn modelId="{86C472FF-080B-4ADE-B5FA-27966B5F5862}" type="presParOf" srcId="{82266056-8E8F-4AE1-A5E2-07B03879A433}" destId="{EE9B878B-CB88-437B-895B-6C7241B7C97C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A72EB0F7-B6A9-44BB-A26D-1E0C06E9DA59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5E78A0CE-6639-47D1-A22D-08C260E88399}">
      <dgm:prSet/>
      <dgm:spPr/>
      <dgm:t>
        <a:bodyPr/>
        <a:lstStyle/>
        <a:p>
          <a:r>
            <a:rPr lang="en-US"/>
            <a:t>Auto		</a:t>
          </a:r>
        </a:p>
      </dgm:t>
    </dgm:pt>
    <dgm:pt modelId="{0AB6517D-16F3-4CDA-A6D9-269FCD452D4C}" type="parTrans" cxnId="{CED22CEC-39D3-43BC-8232-63D20754AD72}">
      <dgm:prSet/>
      <dgm:spPr/>
      <dgm:t>
        <a:bodyPr/>
        <a:lstStyle/>
        <a:p>
          <a:endParaRPr lang="en-US"/>
        </a:p>
      </dgm:t>
    </dgm:pt>
    <dgm:pt modelId="{FD1975BC-DFA6-47B1-A08D-526E34C4C2D9}" type="sibTrans" cxnId="{CED22CEC-39D3-43BC-8232-63D20754AD72}">
      <dgm:prSet/>
      <dgm:spPr/>
      <dgm:t>
        <a:bodyPr/>
        <a:lstStyle/>
        <a:p>
          <a:endParaRPr lang="en-US"/>
        </a:p>
      </dgm:t>
    </dgm:pt>
    <dgm:pt modelId="{E9E6D379-A03E-4FF1-B813-56610C24B965}">
      <dgm:prSet/>
      <dgm:spPr/>
      <dgm:t>
        <a:bodyPr/>
        <a:lstStyle/>
        <a:p>
          <a:r>
            <a:rPr lang="en-US"/>
            <a:t>Diehl, Jordan    Associate, SW Engineer</a:t>
          </a:r>
        </a:p>
      </dgm:t>
    </dgm:pt>
    <dgm:pt modelId="{7144E0AD-27C0-404D-BE69-02666B3FE8BC}" type="parTrans" cxnId="{D67DB0E7-57F9-42C1-AE12-E403723F4750}">
      <dgm:prSet/>
      <dgm:spPr/>
      <dgm:t>
        <a:bodyPr/>
        <a:lstStyle/>
        <a:p>
          <a:endParaRPr lang="en-US"/>
        </a:p>
      </dgm:t>
    </dgm:pt>
    <dgm:pt modelId="{9C43E274-EBBE-4916-9063-CFF8331A4D56}" type="sibTrans" cxnId="{D67DB0E7-57F9-42C1-AE12-E403723F4750}">
      <dgm:prSet/>
      <dgm:spPr/>
      <dgm:t>
        <a:bodyPr/>
        <a:lstStyle/>
        <a:p>
          <a:endParaRPr lang="en-US"/>
        </a:p>
      </dgm:t>
    </dgm:pt>
    <dgm:pt modelId="{E5E487F8-1E3F-4D2A-A839-B18A370998CD}">
      <dgm:prSet/>
      <dgm:spPr/>
      <dgm:t>
        <a:bodyPr/>
        <a:lstStyle/>
        <a:p>
          <a:r>
            <a:rPr lang="en-US"/>
            <a:t>Everitt, Steve    Associate, SW Engineer</a:t>
          </a:r>
        </a:p>
      </dgm:t>
    </dgm:pt>
    <dgm:pt modelId="{6B950E6A-9695-48E2-98E4-44C1D9811253}" type="parTrans" cxnId="{D270ED17-24A9-402A-B402-54E4F3AEC449}">
      <dgm:prSet/>
      <dgm:spPr/>
      <dgm:t>
        <a:bodyPr/>
        <a:lstStyle/>
        <a:p>
          <a:endParaRPr lang="en-US"/>
        </a:p>
      </dgm:t>
    </dgm:pt>
    <dgm:pt modelId="{6D7C097C-6F26-4B8A-9C55-9BDFBF407618}" type="sibTrans" cxnId="{D270ED17-24A9-402A-B402-54E4F3AEC449}">
      <dgm:prSet/>
      <dgm:spPr/>
      <dgm:t>
        <a:bodyPr/>
        <a:lstStyle/>
        <a:p>
          <a:endParaRPr lang="en-US"/>
        </a:p>
      </dgm:t>
    </dgm:pt>
    <dgm:pt modelId="{7D9DA392-3C27-4037-9559-01D922053439}">
      <dgm:prSet/>
      <dgm:spPr/>
      <dgm:t>
        <a:bodyPr/>
        <a:lstStyle/>
        <a:p>
          <a:r>
            <a:rPr lang="en-US"/>
            <a:t>Pannese, Donald    Senior Manager, Engineering</a:t>
          </a:r>
        </a:p>
      </dgm:t>
    </dgm:pt>
    <dgm:pt modelId="{C53853EC-3A84-4D2C-9F24-D09B1B4D6263}" type="parTrans" cxnId="{B4EA9A4C-5AB2-4E62-8378-96475CD439D3}">
      <dgm:prSet/>
      <dgm:spPr/>
      <dgm:t>
        <a:bodyPr/>
        <a:lstStyle/>
        <a:p>
          <a:endParaRPr lang="en-US"/>
        </a:p>
      </dgm:t>
    </dgm:pt>
    <dgm:pt modelId="{139D898E-D57B-4997-8D56-C31493309B8D}" type="sibTrans" cxnId="{B4EA9A4C-5AB2-4E62-8378-96475CD439D3}">
      <dgm:prSet/>
      <dgm:spPr/>
      <dgm:t>
        <a:bodyPr/>
        <a:lstStyle/>
        <a:p>
          <a:endParaRPr lang="en-US"/>
        </a:p>
      </dgm:t>
    </dgm:pt>
    <dgm:pt modelId="{BDD7587E-087F-4680-853B-6D955BE42EC0}">
      <dgm:prSet/>
      <dgm:spPr/>
      <dgm:t>
        <a:bodyPr/>
        <a:lstStyle/>
        <a:p>
          <a:r>
            <a:rPr lang="en-US"/>
            <a:t>TBH9</a:t>
          </a:r>
        </a:p>
        <a:p>
          <a:r>
            <a:rPr lang="en-US"/>
            <a:t>Software Engineer</a:t>
          </a:r>
        </a:p>
      </dgm:t>
    </dgm:pt>
    <dgm:pt modelId="{80A3C601-EA4B-4A55-AB41-5778CAF4D346}" type="parTrans" cxnId="{A2462553-4FA5-46C5-AD6F-FF6A9F6BECFA}">
      <dgm:prSet/>
      <dgm:spPr/>
      <dgm:t>
        <a:bodyPr/>
        <a:lstStyle/>
        <a:p>
          <a:endParaRPr lang="en-US"/>
        </a:p>
      </dgm:t>
    </dgm:pt>
    <dgm:pt modelId="{9B691258-3734-4842-810E-4452A632DED1}" type="sibTrans" cxnId="{A2462553-4FA5-46C5-AD6F-FF6A9F6BECFA}">
      <dgm:prSet/>
      <dgm:spPr/>
      <dgm:t>
        <a:bodyPr/>
        <a:lstStyle/>
        <a:p>
          <a:endParaRPr lang="en-US"/>
        </a:p>
      </dgm:t>
    </dgm:pt>
    <dgm:pt modelId="{43AAF662-0881-4080-BF68-EB0D07B9CEE8}">
      <dgm:prSet/>
      <dgm:spPr/>
      <dgm:t>
        <a:bodyPr/>
        <a:lstStyle/>
        <a:p>
          <a:r>
            <a:rPr lang="en-US"/>
            <a:t>Characterization		</a:t>
          </a:r>
        </a:p>
      </dgm:t>
    </dgm:pt>
    <dgm:pt modelId="{FABDF4B9-9689-4779-88B0-6C106B52B573}" type="parTrans" cxnId="{E8A52A14-9FC6-4E31-9B03-37761064565D}">
      <dgm:prSet/>
      <dgm:spPr/>
      <dgm:t>
        <a:bodyPr/>
        <a:lstStyle/>
        <a:p>
          <a:endParaRPr lang="en-US"/>
        </a:p>
      </dgm:t>
    </dgm:pt>
    <dgm:pt modelId="{AE698D83-3C58-43E0-B281-F4F1BE74E205}" type="sibTrans" cxnId="{E8A52A14-9FC6-4E31-9B03-37761064565D}">
      <dgm:prSet/>
      <dgm:spPr/>
      <dgm:t>
        <a:bodyPr/>
        <a:lstStyle/>
        <a:p>
          <a:endParaRPr lang="en-US"/>
        </a:p>
      </dgm:t>
    </dgm:pt>
    <dgm:pt modelId="{B1EAE28B-90E0-4D57-B68D-A6FCDC8FDBD3}">
      <dgm:prSet/>
      <dgm:spPr/>
      <dgm:t>
        <a:bodyPr/>
        <a:lstStyle/>
        <a:p>
          <a:r>
            <a:rPr lang="en-US"/>
            <a:t>Bennett, Charlie    Specialist, SW Engineer</a:t>
          </a:r>
        </a:p>
      </dgm:t>
    </dgm:pt>
    <dgm:pt modelId="{74039833-BC26-44A9-A875-11DEAFDC68EC}" type="parTrans" cxnId="{0A4E3267-4DC0-446F-8015-845480F09D01}">
      <dgm:prSet/>
      <dgm:spPr/>
      <dgm:t>
        <a:bodyPr/>
        <a:lstStyle/>
        <a:p>
          <a:endParaRPr lang="en-US"/>
        </a:p>
      </dgm:t>
    </dgm:pt>
    <dgm:pt modelId="{4B43BB7B-EEDA-499A-941E-531C3E808266}" type="sibTrans" cxnId="{0A4E3267-4DC0-446F-8015-845480F09D01}">
      <dgm:prSet/>
      <dgm:spPr/>
      <dgm:t>
        <a:bodyPr/>
        <a:lstStyle/>
        <a:p>
          <a:endParaRPr lang="en-US"/>
        </a:p>
      </dgm:t>
    </dgm:pt>
    <dgm:pt modelId="{3FDF3371-FC6E-4496-8635-D7EE93D44789}">
      <dgm:prSet/>
      <dgm:spPr/>
      <dgm:t>
        <a:bodyPr/>
        <a:lstStyle/>
        <a:p>
          <a:r>
            <a:rPr lang="en-US"/>
            <a:t>Blacklock, David    Master, SW Engineer</a:t>
          </a:r>
        </a:p>
      </dgm:t>
    </dgm:pt>
    <dgm:pt modelId="{464BCB16-4118-4DF0-B1A8-8E320BBDF076}" type="parTrans" cxnId="{1B735B47-708F-4D85-A192-893517BD51BC}">
      <dgm:prSet/>
      <dgm:spPr/>
      <dgm:t>
        <a:bodyPr/>
        <a:lstStyle/>
        <a:p>
          <a:endParaRPr lang="en-US"/>
        </a:p>
      </dgm:t>
    </dgm:pt>
    <dgm:pt modelId="{E82E234C-78E1-420D-88A8-F037E7C98E0D}" type="sibTrans" cxnId="{1B735B47-708F-4D85-A192-893517BD51BC}">
      <dgm:prSet/>
      <dgm:spPr/>
      <dgm:t>
        <a:bodyPr/>
        <a:lstStyle/>
        <a:p>
          <a:endParaRPr lang="en-US"/>
        </a:p>
      </dgm:t>
    </dgm:pt>
    <dgm:pt modelId="{98D2F8D9-DE1E-4D61-A016-99E7E27D63D5}">
      <dgm:prSet/>
      <dgm:spPr/>
      <dgm:t>
        <a:bodyPr/>
        <a:lstStyle/>
        <a:p>
          <a:r>
            <a:rPr lang="en-US"/>
            <a:t>Dev		</a:t>
          </a:r>
        </a:p>
      </dgm:t>
    </dgm:pt>
    <dgm:pt modelId="{75A551F5-C07D-4DC9-9EFD-924762AA292B}" type="parTrans" cxnId="{9C3403B9-082E-4366-9F94-683107BCB03B}">
      <dgm:prSet/>
      <dgm:spPr/>
      <dgm:t>
        <a:bodyPr/>
        <a:lstStyle/>
        <a:p>
          <a:endParaRPr lang="en-US"/>
        </a:p>
      </dgm:t>
    </dgm:pt>
    <dgm:pt modelId="{76EFADAC-011F-4A0E-A3B0-4B11AFACAEEA}" type="sibTrans" cxnId="{9C3403B9-082E-4366-9F94-683107BCB03B}">
      <dgm:prSet/>
      <dgm:spPr/>
      <dgm:t>
        <a:bodyPr/>
        <a:lstStyle/>
        <a:p>
          <a:endParaRPr lang="en-US"/>
        </a:p>
      </dgm:t>
    </dgm:pt>
    <dgm:pt modelId="{5649B056-56D5-4AA4-82AA-CD53268AD03D}">
      <dgm:prSet/>
      <dgm:spPr/>
      <dgm:t>
        <a:bodyPr/>
        <a:lstStyle/>
        <a:p>
          <a:r>
            <a:rPr lang="en-US"/>
            <a:t>Clark, Nate    Specialist, SW Engineer</a:t>
          </a:r>
        </a:p>
      </dgm:t>
    </dgm:pt>
    <dgm:pt modelId="{2627FD01-050A-4749-8230-D58159619936}" type="parTrans" cxnId="{6BB07A99-24D1-49FD-8BE0-B96FCF967B8E}">
      <dgm:prSet/>
      <dgm:spPr/>
      <dgm:t>
        <a:bodyPr/>
        <a:lstStyle/>
        <a:p>
          <a:endParaRPr lang="en-US"/>
        </a:p>
      </dgm:t>
    </dgm:pt>
    <dgm:pt modelId="{6FEED42F-20AB-4684-AAD7-06FAF775744D}" type="sibTrans" cxnId="{6BB07A99-24D1-49FD-8BE0-B96FCF967B8E}">
      <dgm:prSet/>
      <dgm:spPr/>
      <dgm:t>
        <a:bodyPr/>
        <a:lstStyle/>
        <a:p>
          <a:endParaRPr lang="en-US"/>
        </a:p>
      </dgm:t>
    </dgm:pt>
    <dgm:pt modelId="{12212259-6983-43BB-99CA-9F25F27BD62F}">
      <dgm:prSet/>
      <dgm:spPr/>
      <dgm:t>
        <a:bodyPr/>
        <a:lstStyle/>
        <a:p>
          <a:r>
            <a:rPr lang="en-US"/>
            <a:t>Curry, Clay    Specialist, SW Engineer</a:t>
          </a:r>
        </a:p>
      </dgm:t>
    </dgm:pt>
    <dgm:pt modelId="{3B58CB77-86FF-463D-8D57-532C11BD7B6A}" type="parTrans" cxnId="{430EC3F2-10CC-40FC-8869-EE7F2CFBA80E}">
      <dgm:prSet/>
      <dgm:spPr/>
      <dgm:t>
        <a:bodyPr/>
        <a:lstStyle/>
        <a:p>
          <a:endParaRPr lang="en-US"/>
        </a:p>
      </dgm:t>
    </dgm:pt>
    <dgm:pt modelId="{BF650D63-11C9-49AE-AAA8-1B2F6A2C0BB2}" type="sibTrans" cxnId="{430EC3F2-10CC-40FC-8869-EE7F2CFBA80E}">
      <dgm:prSet/>
      <dgm:spPr/>
      <dgm:t>
        <a:bodyPr/>
        <a:lstStyle/>
        <a:p>
          <a:endParaRPr lang="en-US"/>
        </a:p>
      </dgm:t>
    </dgm:pt>
    <dgm:pt modelId="{8C5AD48B-A42F-4F7C-A84D-E3F0D9FDDD85}">
      <dgm:prSet/>
      <dgm:spPr/>
      <dgm:t>
        <a:bodyPr/>
        <a:lstStyle/>
        <a:p>
          <a:r>
            <a:rPr lang="en-US"/>
            <a:t>Grimaldi, Kevin    Senior, SW Engineer</a:t>
          </a:r>
        </a:p>
      </dgm:t>
    </dgm:pt>
    <dgm:pt modelId="{C02F77FD-7896-45B5-A189-C96B9D59A304}" type="parTrans" cxnId="{80822E10-C826-4412-BF18-F714E3CF7775}">
      <dgm:prSet/>
      <dgm:spPr/>
      <dgm:t>
        <a:bodyPr/>
        <a:lstStyle/>
        <a:p>
          <a:endParaRPr lang="en-US"/>
        </a:p>
      </dgm:t>
    </dgm:pt>
    <dgm:pt modelId="{D21097C9-DF89-48F0-8E18-5ADAD68A2CF1}" type="sibTrans" cxnId="{80822E10-C826-4412-BF18-F714E3CF7775}">
      <dgm:prSet/>
      <dgm:spPr/>
      <dgm:t>
        <a:bodyPr/>
        <a:lstStyle/>
        <a:p>
          <a:endParaRPr lang="en-US"/>
        </a:p>
      </dgm:t>
    </dgm:pt>
    <dgm:pt modelId="{44827F0E-523F-441C-99C0-CE364918DA1F}">
      <dgm:prSet/>
      <dgm:spPr/>
      <dgm:t>
        <a:bodyPr/>
        <a:lstStyle/>
        <a:p>
          <a:r>
            <a:rPr lang="en-US"/>
            <a:t>Maxwell, Tyler    Specialist, SW Engineer</a:t>
          </a:r>
        </a:p>
      </dgm:t>
    </dgm:pt>
    <dgm:pt modelId="{7CAC0E67-38C5-47EE-911D-23EC5C35C33A}" type="parTrans" cxnId="{4E35D4E6-E289-40B2-870C-6F04F1F44F81}">
      <dgm:prSet/>
      <dgm:spPr/>
      <dgm:t>
        <a:bodyPr/>
        <a:lstStyle/>
        <a:p>
          <a:endParaRPr lang="en-US"/>
        </a:p>
      </dgm:t>
    </dgm:pt>
    <dgm:pt modelId="{7EFDA6AE-386F-4C64-94A1-243FD85078AE}" type="sibTrans" cxnId="{4E35D4E6-E289-40B2-870C-6F04F1F44F81}">
      <dgm:prSet/>
      <dgm:spPr/>
      <dgm:t>
        <a:bodyPr/>
        <a:lstStyle/>
        <a:p>
          <a:endParaRPr lang="en-US"/>
        </a:p>
      </dgm:t>
    </dgm:pt>
    <dgm:pt modelId="{BED12463-B488-4665-874D-E5F8E1F8AF41}">
      <dgm:prSet/>
      <dgm:spPr/>
      <dgm:t>
        <a:bodyPr/>
        <a:lstStyle/>
        <a:p>
          <a:r>
            <a:rPr lang="en-US"/>
            <a:t>Meagher, Tom    Software Engineer</a:t>
          </a:r>
        </a:p>
      </dgm:t>
    </dgm:pt>
    <dgm:pt modelId="{358D01C8-27BE-4B12-AED0-6D41CA97BD41}" type="parTrans" cxnId="{EE45BC21-A029-40FE-8A4F-F5315AF3ADD2}">
      <dgm:prSet/>
      <dgm:spPr/>
      <dgm:t>
        <a:bodyPr/>
        <a:lstStyle/>
        <a:p>
          <a:endParaRPr lang="en-US"/>
        </a:p>
      </dgm:t>
    </dgm:pt>
    <dgm:pt modelId="{3C17E1F2-7090-464C-9C93-668E56C2D951}" type="sibTrans" cxnId="{EE45BC21-A029-40FE-8A4F-F5315AF3ADD2}">
      <dgm:prSet/>
      <dgm:spPr/>
      <dgm:t>
        <a:bodyPr/>
        <a:lstStyle/>
        <a:p>
          <a:endParaRPr lang="en-US"/>
        </a:p>
      </dgm:t>
    </dgm:pt>
    <dgm:pt modelId="{0174113C-2CD6-4E5D-8B41-A41EBC9ADE54}">
      <dgm:prSet/>
      <dgm:spPr/>
      <dgm:t>
        <a:bodyPr/>
        <a:lstStyle/>
        <a:p>
          <a:r>
            <a:rPr lang="en-US"/>
            <a:t>Ramsey, Diane    Specialist, SW Engineer</a:t>
          </a:r>
        </a:p>
      </dgm:t>
    </dgm:pt>
    <dgm:pt modelId="{2DA5C39C-95B9-4761-AD86-B6268B6695F3}" type="parTrans" cxnId="{3A988932-767F-4717-B398-A374D852405F}">
      <dgm:prSet/>
      <dgm:spPr/>
      <dgm:t>
        <a:bodyPr/>
        <a:lstStyle/>
        <a:p>
          <a:endParaRPr lang="en-US"/>
        </a:p>
      </dgm:t>
    </dgm:pt>
    <dgm:pt modelId="{463E9E8E-EB4C-40F2-8F6B-A8F315D6BA88}" type="sibTrans" cxnId="{3A988932-767F-4717-B398-A374D852405F}">
      <dgm:prSet/>
      <dgm:spPr/>
      <dgm:t>
        <a:bodyPr/>
        <a:lstStyle/>
        <a:p>
          <a:endParaRPr lang="en-US"/>
        </a:p>
      </dgm:t>
    </dgm:pt>
    <dgm:pt modelId="{9341A5A7-C897-4E26-A163-69BAA9AAD7BE}">
      <dgm:prSet/>
      <dgm:spPr/>
      <dgm:t>
        <a:bodyPr/>
        <a:lstStyle/>
        <a:p>
          <a:r>
            <a:rPr lang="en-US"/>
            <a:t>Tatar, Ilya    Specialist, SW Engineer</a:t>
          </a:r>
        </a:p>
      </dgm:t>
    </dgm:pt>
    <dgm:pt modelId="{5A28B6E0-B4C9-4F1C-816A-6DC93882A426}" type="parTrans" cxnId="{6EADD03A-3126-4098-A0D5-62FA798C7989}">
      <dgm:prSet/>
      <dgm:spPr/>
      <dgm:t>
        <a:bodyPr/>
        <a:lstStyle/>
        <a:p>
          <a:endParaRPr lang="en-US"/>
        </a:p>
      </dgm:t>
    </dgm:pt>
    <dgm:pt modelId="{27A5857C-73AB-4E6A-AF9F-EE6EE28871F8}" type="sibTrans" cxnId="{6EADD03A-3126-4098-A0D5-62FA798C7989}">
      <dgm:prSet/>
      <dgm:spPr/>
      <dgm:t>
        <a:bodyPr/>
        <a:lstStyle/>
        <a:p>
          <a:endParaRPr lang="en-US"/>
        </a:p>
      </dgm:t>
    </dgm:pt>
    <dgm:pt modelId="{E79D5652-86C7-4743-B03B-F36522E0B5F2}">
      <dgm:prSet/>
      <dgm:spPr/>
      <dgm:t>
        <a:bodyPr/>
        <a:lstStyle/>
        <a:p>
          <a:r>
            <a:rPr lang="en-US"/>
            <a:t>TBH10</a:t>
          </a:r>
        </a:p>
        <a:p>
          <a:r>
            <a:rPr lang="en-US"/>
            <a:t>Senior, SW Engineer</a:t>
          </a:r>
        </a:p>
      </dgm:t>
    </dgm:pt>
    <dgm:pt modelId="{32D7FDE4-3362-4F5E-BF60-8515DCEA6643}" type="parTrans" cxnId="{D7EB37DF-81D8-4741-87F4-A448989FFF2C}">
      <dgm:prSet/>
      <dgm:spPr/>
      <dgm:t>
        <a:bodyPr/>
        <a:lstStyle/>
        <a:p>
          <a:endParaRPr lang="en-US"/>
        </a:p>
      </dgm:t>
    </dgm:pt>
    <dgm:pt modelId="{6B49636D-0591-45E3-A08D-7C76B5F4A91F}" type="sibTrans" cxnId="{D7EB37DF-81D8-4741-87F4-A448989FFF2C}">
      <dgm:prSet/>
      <dgm:spPr/>
      <dgm:t>
        <a:bodyPr/>
        <a:lstStyle/>
        <a:p>
          <a:endParaRPr lang="en-US"/>
        </a:p>
      </dgm:t>
    </dgm:pt>
    <dgm:pt modelId="{EA26AAB0-F9E4-47B7-AF9E-4C2130283A88}">
      <dgm:prSet/>
      <dgm:spPr/>
      <dgm:t>
        <a:bodyPr/>
        <a:lstStyle/>
        <a:p>
          <a:r>
            <a:rPr lang="en-US"/>
            <a:t>Doc		</a:t>
          </a:r>
        </a:p>
      </dgm:t>
    </dgm:pt>
    <dgm:pt modelId="{E19C0EA4-05C6-4704-BD94-DF66EDBF7CA5}" type="parTrans" cxnId="{ABBADD6C-2E8B-4006-B465-97D554A75013}">
      <dgm:prSet/>
      <dgm:spPr/>
      <dgm:t>
        <a:bodyPr/>
        <a:lstStyle/>
        <a:p>
          <a:endParaRPr lang="en-US"/>
        </a:p>
      </dgm:t>
    </dgm:pt>
    <dgm:pt modelId="{191BEF9A-CE91-4798-A40A-9EA0ADC7B9E0}" type="sibTrans" cxnId="{ABBADD6C-2E8B-4006-B465-97D554A75013}">
      <dgm:prSet/>
      <dgm:spPr/>
      <dgm:t>
        <a:bodyPr/>
        <a:lstStyle/>
        <a:p>
          <a:endParaRPr lang="en-US"/>
        </a:p>
      </dgm:t>
    </dgm:pt>
    <dgm:pt modelId="{EA321920-B290-4615-87CD-E0BB9BB6C5AE}">
      <dgm:prSet/>
      <dgm:spPr/>
      <dgm:t>
        <a:bodyPr/>
        <a:lstStyle/>
        <a:p>
          <a:r>
            <a:rPr lang="en-US"/>
            <a:t>Dames, Lisa    Specialist, SW Engineer</a:t>
          </a:r>
        </a:p>
      </dgm:t>
    </dgm:pt>
    <dgm:pt modelId="{69344858-5C29-4698-83EE-AF27120DCB21}" type="parTrans" cxnId="{8573998F-F16E-4113-8083-000D59667C33}">
      <dgm:prSet/>
      <dgm:spPr/>
      <dgm:t>
        <a:bodyPr/>
        <a:lstStyle/>
        <a:p>
          <a:endParaRPr lang="en-US"/>
        </a:p>
      </dgm:t>
    </dgm:pt>
    <dgm:pt modelId="{25247E2C-27F7-417C-A917-E4DBAE1C4951}" type="sibTrans" cxnId="{8573998F-F16E-4113-8083-000D59667C33}">
      <dgm:prSet/>
      <dgm:spPr/>
      <dgm:t>
        <a:bodyPr/>
        <a:lstStyle/>
        <a:p>
          <a:endParaRPr lang="en-US"/>
        </a:p>
      </dgm:t>
    </dgm:pt>
    <dgm:pt modelId="{0539338E-C4C7-4165-BCEF-EB11F591B821}">
      <dgm:prSet/>
      <dgm:spPr/>
      <dgm:t>
        <a:bodyPr/>
        <a:lstStyle/>
        <a:p>
          <a:r>
            <a:rPr lang="en-US"/>
            <a:t>Lead		</a:t>
          </a:r>
        </a:p>
      </dgm:t>
    </dgm:pt>
    <dgm:pt modelId="{628DA594-036C-4501-AF80-1B283677D4C2}" type="parTrans" cxnId="{454B63E2-0DD8-4D22-9554-61C6E493211F}">
      <dgm:prSet/>
      <dgm:spPr/>
      <dgm:t>
        <a:bodyPr/>
        <a:lstStyle/>
        <a:p>
          <a:endParaRPr lang="en-US"/>
        </a:p>
      </dgm:t>
    </dgm:pt>
    <dgm:pt modelId="{9BE6EC1F-9AA4-421A-AAFF-A11D0421A727}" type="sibTrans" cxnId="{454B63E2-0DD8-4D22-9554-61C6E493211F}">
      <dgm:prSet/>
      <dgm:spPr/>
      <dgm:t>
        <a:bodyPr/>
        <a:lstStyle/>
        <a:p>
          <a:endParaRPr lang="en-US"/>
        </a:p>
      </dgm:t>
    </dgm:pt>
    <dgm:pt modelId="{5C264A5D-E3FD-4F21-B608-ECC4037F9DB9}">
      <dgm:prSet/>
      <dgm:spPr/>
      <dgm:t>
        <a:bodyPr/>
        <a:lstStyle/>
        <a:p>
          <a:r>
            <a:rPr lang="en-US"/>
            <a:t>Pinkney, Dave    Senior Director, Engineering</a:t>
          </a:r>
        </a:p>
      </dgm:t>
    </dgm:pt>
    <dgm:pt modelId="{8D3078E3-FC05-4D1B-9AFA-2EFD6DECAC88}" type="parTrans" cxnId="{1FE2CB87-E112-4271-BA4F-CAE40E1FCB86}">
      <dgm:prSet/>
      <dgm:spPr/>
      <dgm:t>
        <a:bodyPr/>
        <a:lstStyle/>
        <a:p>
          <a:endParaRPr lang="en-US"/>
        </a:p>
      </dgm:t>
    </dgm:pt>
    <dgm:pt modelId="{CF5ED709-C809-4FDE-A721-D3CF56226BBD}" type="sibTrans" cxnId="{1FE2CB87-E112-4271-BA4F-CAE40E1FCB86}">
      <dgm:prSet/>
      <dgm:spPr/>
      <dgm:t>
        <a:bodyPr/>
        <a:lstStyle/>
        <a:p>
          <a:endParaRPr lang="en-US"/>
        </a:p>
      </dgm:t>
    </dgm:pt>
    <dgm:pt modelId="{05B3ED5E-CB11-4A9E-90C0-B5013182E685}">
      <dgm:prSet/>
      <dgm:spPr/>
      <dgm:t>
        <a:bodyPr/>
        <a:lstStyle/>
        <a:p>
          <a:r>
            <a:rPr lang="en-US"/>
            <a:t>PO		</a:t>
          </a:r>
        </a:p>
      </dgm:t>
    </dgm:pt>
    <dgm:pt modelId="{1A14A07D-5133-4909-90B4-6E17F75A112F}" type="parTrans" cxnId="{833565A2-B4A8-4353-98BF-500D27093C7D}">
      <dgm:prSet/>
      <dgm:spPr/>
      <dgm:t>
        <a:bodyPr/>
        <a:lstStyle/>
        <a:p>
          <a:endParaRPr lang="en-US"/>
        </a:p>
      </dgm:t>
    </dgm:pt>
    <dgm:pt modelId="{79FC6A76-FFB3-485F-B760-878067765306}" type="sibTrans" cxnId="{833565A2-B4A8-4353-98BF-500D27093C7D}">
      <dgm:prSet/>
      <dgm:spPr/>
      <dgm:t>
        <a:bodyPr/>
        <a:lstStyle/>
        <a:p>
          <a:endParaRPr lang="en-US"/>
        </a:p>
      </dgm:t>
    </dgm:pt>
    <dgm:pt modelId="{B1F4F874-4032-4AF1-BC6E-181B1B52B590}">
      <dgm:prSet/>
      <dgm:spPr/>
      <dgm:t>
        <a:bodyPr/>
        <a:lstStyle/>
        <a:p>
          <a:r>
            <a:rPr lang="en-US"/>
            <a:t>List, Andrew    Strategist, Engineering</a:t>
          </a:r>
        </a:p>
      </dgm:t>
    </dgm:pt>
    <dgm:pt modelId="{34624F11-1C58-460A-8D46-15AAF64C6D44}" type="parTrans" cxnId="{FFB4E023-B0A0-4746-B670-7BD6C43C0395}">
      <dgm:prSet/>
      <dgm:spPr/>
      <dgm:t>
        <a:bodyPr/>
        <a:lstStyle/>
        <a:p>
          <a:endParaRPr lang="en-US"/>
        </a:p>
      </dgm:t>
    </dgm:pt>
    <dgm:pt modelId="{CDF5F7B4-04F5-4A71-81ED-33563AA7B7CE}" type="sibTrans" cxnId="{FFB4E023-B0A0-4746-B670-7BD6C43C0395}">
      <dgm:prSet/>
      <dgm:spPr/>
      <dgm:t>
        <a:bodyPr/>
        <a:lstStyle/>
        <a:p>
          <a:endParaRPr lang="en-US"/>
        </a:p>
      </dgm:t>
    </dgm:pt>
    <dgm:pt modelId="{8E85575A-A7EA-4271-8F3B-D0A7815B2B90}">
      <dgm:prSet/>
      <dgm:spPr/>
      <dgm:t>
        <a:bodyPr/>
        <a:lstStyle/>
        <a:p>
          <a:r>
            <a:rPr lang="en-US"/>
            <a:t>TBH11</a:t>
          </a:r>
        </a:p>
        <a:p>
          <a:r>
            <a:rPr lang="en-US"/>
            <a:t>Senior, SW Engineer</a:t>
          </a:r>
        </a:p>
      </dgm:t>
    </dgm:pt>
    <dgm:pt modelId="{B7C724A2-B9D7-4191-9426-FB3095F6AE57}" type="parTrans" cxnId="{49E3D71C-8D9A-4C27-A070-F371CC4CE7A1}">
      <dgm:prSet/>
      <dgm:spPr/>
      <dgm:t>
        <a:bodyPr/>
        <a:lstStyle/>
        <a:p>
          <a:endParaRPr lang="en-US"/>
        </a:p>
      </dgm:t>
    </dgm:pt>
    <dgm:pt modelId="{73BB5C51-6A55-458D-B61A-DFC4F9D3CCEF}" type="sibTrans" cxnId="{49E3D71C-8D9A-4C27-A070-F371CC4CE7A1}">
      <dgm:prSet/>
      <dgm:spPr/>
      <dgm:t>
        <a:bodyPr/>
        <a:lstStyle/>
        <a:p>
          <a:endParaRPr lang="en-US"/>
        </a:p>
      </dgm:t>
    </dgm:pt>
    <dgm:pt modelId="{CBC9CC8F-F3FD-4483-B303-40A357EEDF90}">
      <dgm:prSet/>
      <dgm:spPr/>
      <dgm:t>
        <a:bodyPr/>
        <a:lstStyle/>
        <a:p>
          <a:r>
            <a:rPr lang="en-US"/>
            <a:t>QA		</a:t>
          </a:r>
        </a:p>
      </dgm:t>
    </dgm:pt>
    <dgm:pt modelId="{6575D5B0-F498-4007-8B56-BC0CCEE28FA8}" type="parTrans" cxnId="{82075E68-6DDA-42F1-99E9-19E1EA52293A}">
      <dgm:prSet/>
      <dgm:spPr/>
      <dgm:t>
        <a:bodyPr/>
        <a:lstStyle/>
        <a:p>
          <a:endParaRPr lang="en-US"/>
        </a:p>
      </dgm:t>
    </dgm:pt>
    <dgm:pt modelId="{E6349209-663D-4820-8C5A-9907F31DBAC3}" type="sibTrans" cxnId="{82075E68-6DDA-42F1-99E9-19E1EA52293A}">
      <dgm:prSet/>
      <dgm:spPr/>
      <dgm:t>
        <a:bodyPr/>
        <a:lstStyle/>
        <a:p>
          <a:endParaRPr lang="en-US"/>
        </a:p>
      </dgm:t>
    </dgm:pt>
    <dgm:pt modelId="{6489455F-80F6-434B-BB61-CEDDC327660D}">
      <dgm:prSet/>
      <dgm:spPr/>
      <dgm:t>
        <a:bodyPr/>
        <a:lstStyle/>
        <a:p>
          <a:r>
            <a:rPr lang="en-US"/>
            <a:t>Baron, Tom    Specialist, SWQA Engineer</a:t>
          </a:r>
        </a:p>
      </dgm:t>
    </dgm:pt>
    <dgm:pt modelId="{4E2294F4-39B9-46D4-8522-54C9999EABDE}" type="parTrans" cxnId="{4D1AC38F-6CC8-43F0-B741-142A29138AF6}">
      <dgm:prSet/>
      <dgm:spPr/>
      <dgm:t>
        <a:bodyPr/>
        <a:lstStyle/>
        <a:p>
          <a:endParaRPr lang="en-US"/>
        </a:p>
      </dgm:t>
    </dgm:pt>
    <dgm:pt modelId="{575394E8-2E43-47A0-9C68-99D952104BF4}" type="sibTrans" cxnId="{4D1AC38F-6CC8-43F0-B741-142A29138AF6}">
      <dgm:prSet/>
      <dgm:spPr/>
      <dgm:t>
        <a:bodyPr/>
        <a:lstStyle/>
        <a:p>
          <a:endParaRPr lang="en-US"/>
        </a:p>
      </dgm:t>
    </dgm:pt>
    <dgm:pt modelId="{0D8143E2-1606-4412-AE20-73C039DFD1A2}">
      <dgm:prSet/>
      <dgm:spPr/>
      <dgm:t>
        <a:bodyPr/>
        <a:lstStyle/>
        <a:p>
          <a:r>
            <a:rPr lang="en-US"/>
            <a:t>Chestna, Wayne    Senior Manager, Engineering</a:t>
          </a:r>
        </a:p>
      </dgm:t>
    </dgm:pt>
    <dgm:pt modelId="{54009020-087D-4BBE-A1AC-4D76596E9F55}" type="parTrans" cxnId="{8E2352D4-EC43-4CC6-82E8-C1235AB382AE}">
      <dgm:prSet/>
      <dgm:spPr/>
      <dgm:t>
        <a:bodyPr/>
        <a:lstStyle/>
        <a:p>
          <a:endParaRPr lang="en-US"/>
        </a:p>
      </dgm:t>
    </dgm:pt>
    <dgm:pt modelId="{38571B0A-9863-4DE6-B43C-E3EED0F456A2}" type="sibTrans" cxnId="{8E2352D4-EC43-4CC6-82E8-C1235AB382AE}">
      <dgm:prSet/>
      <dgm:spPr/>
      <dgm:t>
        <a:bodyPr/>
        <a:lstStyle/>
        <a:p>
          <a:endParaRPr lang="en-US"/>
        </a:p>
      </dgm:t>
    </dgm:pt>
    <dgm:pt modelId="{60B946F5-2256-4327-BEA2-A15489229C0D}">
      <dgm:prSet/>
      <dgm:spPr/>
      <dgm:t>
        <a:bodyPr/>
        <a:lstStyle/>
        <a:p>
          <a:r>
            <a:rPr lang="en-US"/>
            <a:t>Giddings, Robert    Specialist, SWQA Engineer</a:t>
          </a:r>
        </a:p>
      </dgm:t>
    </dgm:pt>
    <dgm:pt modelId="{5D144DC2-8AC2-44F5-849D-BD02DAEA6C1D}" type="parTrans" cxnId="{A238C717-99A6-4507-BD05-A0C605696B6A}">
      <dgm:prSet/>
      <dgm:spPr/>
      <dgm:t>
        <a:bodyPr/>
        <a:lstStyle/>
        <a:p>
          <a:endParaRPr lang="en-US"/>
        </a:p>
      </dgm:t>
    </dgm:pt>
    <dgm:pt modelId="{8EDACAFD-1ABD-4090-9A85-614E1FE8A025}" type="sibTrans" cxnId="{A238C717-99A6-4507-BD05-A0C605696B6A}">
      <dgm:prSet/>
      <dgm:spPr/>
      <dgm:t>
        <a:bodyPr/>
        <a:lstStyle/>
        <a:p>
          <a:endParaRPr lang="en-US"/>
        </a:p>
      </dgm:t>
    </dgm:pt>
    <dgm:pt modelId="{F34AC33D-2111-42D0-9F1C-C23ED2BC667D}">
      <dgm:prSet/>
      <dgm:spPr/>
      <dgm:t>
        <a:bodyPr/>
        <a:lstStyle/>
        <a:p>
          <a:r>
            <a:rPr lang="en-US"/>
            <a:t>Lopes, Kyle    Associate, SWQA Engineer</a:t>
          </a:r>
        </a:p>
      </dgm:t>
    </dgm:pt>
    <dgm:pt modelId="{64B901A5-640F-4F7B-82A4-F061B3B14FE3}" type="parTrans" cxnId="{524CB229-E416-4A09-8959-2B7553709934}">
      <dgm:prSet/>
      <dgm:spPr/>
      <dgm:t>
        <a:bodyPr/>
        <a:lstStyle/>
        <a:p>
          <a:endParaRPr lang="en-US"/>
        </a:p>
      </dgm:t>
    </dgm:pt>
    <dgm:pt modelId="{FFABD394-8490-40E2-9225-53AC92A9D921}" type="sibTrans" cxnId="{524CB229-E416-4A09-8959-2B7553709934}">
      <dgm:prSet/>
      <dgm:spPr/>
      <dgm:t>
        <a:bodyPr/>
        <a:lstStyle/>
        <a:p>
          <a:endParaRPr lang="en-US"/>
        </a:p>
      </dgm:t>
    </dgm:pt>
    <dgm:pt modelId="{030C49F4-E431-46AA-8B0A-B72FFACAC94A}" type="pres">
      <dgm:prSet presAssocID="{A72EB0F7-B6A9-44BB-A26D-1E0C06E9DA59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33B0C057-0E8D-43AE-B2CB-19517C845992}" type="pres">
      <dgm:prSet presAssocID="{0539338E-C4C7-4165-BCEF-EB11F591B821}" presName="root" presStyleCnt="0"/>
      <dgm:spPr/>
      <dgm:t>
        <a:bodyPr/>
        <a:lstStyle/>
        <a:p>
          <a:endParaRPr lang="en-US"/>
        </a:p>
      </dgm:t>
    </dgm:pt>
    <dgm:pt modelId="{33D5D277-C4AF-4055-A73D-935E8FF77F68}" type="pres">
      <dgm:prSet presAssocID="{0539338E-C4C7-4165-BCEF-EB11F591B821}" presName="rootComposite" presStyleCnt="0"/>
      <dgm:spPr/>
      <dgm:t>
        <a:bodyPr/>
        <a:lstStyle/>
        <a:p>
          <a:endParaRPr lang="en-US"/>
        </a:p>
      </dgm:t>
    </dgm:pt>
    <dgm:pt modelId="{0BAA50E6-ACC0-47CD-81F8-A09A56262891}" type="pres">
      <dgm:prSet presAssocID="{0539338E-C4C7-4165-BCEF-EB11F591B821}" presName="rootText" presStyleLbl="node1" presStyleIdx="0" presStyleCnt="7"/>
      <dgm:spPr/>
      <dgm:t>
        <a:bodyPr/>
        <a:lstStyle/>
        <a:p>
          <a:endParaRPr lang="en-US"/>
        </a:p>
      </dgm:t>
    </dgm:pt>
    <dgm:pt modelId="{173AFAA8-7C51-4DEB-90B5-F6D51304CD62}" type="pres">
      <dgm:prSet presAssocID="{0539338E-C4C7-4165-BCEF-EB11F591B821}" presName="rootConnector" presStyleLbl="node1" presStyleIdx="0" presStyleCnt="7"/>
      <dgm:spPr/>
      <dgm:t>
        <a:bodyPr/>
        <a:lstStyle/>
        <a:p>
          <a:endParaRPr lang="en-US"/>
        </a:p>
      </dgm:t>
    </dgm:pt>
    <dgm:pt modelId="{2F30488A-48BB-454C-8EFB-508B9AD23335}" type="pres">
      <dgm:prSet presAssocID="{0539338E-C4C7-4165-BCEF-EB11F591B821}" presName="childShape" presStyleCnt="0"/>
      <dgm:spPr/>
      <dgm:t>
        <a:bodyPr/>
        <a:lstStyle/>
        <a:p>
          <a:endParaRPr lang="en-US"/>
        </a:p>
      </dgm:t>
    </dgm:pt>
    <dgm:pt modelId="{B876B7DC-2D3A-4A93-9130-0D631468768B}" type="pres">
      <dgm:prSet presAssocID="{8D3078E3-FC05-4D1B-9AFA-2EFD6DECAC88}" presName="Name13" presStyleLbl="parChTrans1D2" presStyleIdx="0" presStyleCnt="22"/>
      <dgm:spPr/>
      <dgm:t>
        <a:bodyPr/>
        <a:lstStyle/>
        <a:p>
          <a:endParaRPr lang="en-US"/>
        </a:p>
      </dgm:t>
    </dgm:pt>
    <dgm:pt modelId="{97A239C6-68EA-4538-BF7F-01532DE4A656}" type="pres">
      <dgm:prSet presAssocID="{5C264A5D-E3FD-4F21-B608-ECC4037F9DB9}" presName="childText" presStyleLbl="bgAcc1" presStyleIdx="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238CA92-4012-415B-8F41-BE0F3DF70AFA}" type="pres">
      <dgm:prSet presAssocID="{05B3ED5E-CB11-4A9E-90C0-B5013182E685}" presName="root" presStyleCnt="0"/>
      <dgm:spPr/>
      <dgm:t>
        <a:bodyPr/>
        <a:lstStyle/>
        <a:p>
          <a:endParaRPr lang="en-US"/>
        </a:p>
      </dgm:t>
    </dgm:pt>
    <dgm:pt modelId="{0AC931DC-31B8-4EA9-A6F6-097AF64C132C}" type="pres">
      <dgm:prSet presAssocID="{05B3ED5E-CB11-4A9E-90C0-B5013182E685}" presName="rootComposite" presStyleCnt="0"/>
      <dgm:spPr/>
      <dgm:t>
        <a:bodyPr/>
        <a:lstStyle/>
        <a:p>
          <a:endParaRPr lang="en-US"/>
        </a:p>
      </dgm:t>
    </dgm:pt>
    <dgm:pt modelId="{93DCCB92-ADB5-4910-AC56-2CBCE7DAF12C}" type="pres">
      <dgm:prSet presAssocID="{05B3ED5E-CB11-4A9E-90C0-B5013182E685}" presName="rootText" presStyleLbl="node1" presStyleIdx="1" presStyleCnt="7"/>
      <dgm:spPr/>
      <dgm:t>
        <a:bodyPr/>
        <a:lstStyle/>
        <a:p>
          <a:endParaRPr lang="en-US"/>
        </a:p>
      </dgm:t>
    </dgm:pt>
    <dgm:pt modelId="{F0600708-E487-4CC4-8B39-2B6AFDF43CFA}" type="pres">
      <dgm:prSet presAssocID="{05B3ED5E-CB11-4A9E-90C0-B5013182E685}" presName="rootConnector" presStyleLbl="node1" presStyleIdx="1" presStyleCnt="7"/>
      <dgm:spPr/>
      <dgm:t>
        <a:bodyPr/>
        <a:lstStyle/>
        <a:p>
          <a:endParaRPr lang="en-US"/>
        </a:p>
      </dgm:t>
    </dgm:pt>
    <dgm:pt modelId="{ACF2C8C2-792E-480D-A547-91BB27F4052C}" type="pres">
      <dgm:prSet presAssocID="{05B3ED5E-CB11-4A9E-90C0-B5013182E685}" presName="childShape" presStyleCnt="0"/>
      <dgm:spPr/>
      <dgm:t>
        <a:bodyPr/>
        <a:lstStyle/>
        <a:p>
          <a:endParaRPr lang="en-US"/>
        </a:p>
      </dgm:t>
    </dgm:pt>
    <dgm:pt modelId="{6BB92361-E599-4E7F-97AA-7A5B74C9BEE2}" type="pres">
      <dgm:prSet presAssocID="{34624F11-1C58-460A-8D46-15AAF64C6D44}" presName="Name13" presStyleLbl="parChTrans1D2" presStyleIdx="1" presStyleCnt="22"/>
      <dgm:spPr/>
      <dgm:t>
        <a:bodyPr/>
        <a:lstStyle/>
        <a:p>
          <a:endParaRPr lang="en-US"/>
        </a:p>
      </dgm:t>
    </dgm:pt>
    <dgm:pt modelId="{1C3C0FAB-22E4-4F5D-BA18-CC6D0E8FF971}" type="pres">
      <dgm:prSet presAssocID="{B1F4F874-4032-4AF1-BC6E-181B1B52B590}" presName="childText" presStyleLbl="bgAcc1" presStyleIdx="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D86FFCB-C23D-4D93-BBB3-BCFACBB55F29}" type="pres">
      <dgm:prSet presAssocID="{B7C724A2-B9D7-4191-9426-FB3095F6AE57}" presName="Name13" presStyleLbl="parChTrans1D2" presStyleIdx="2" presStyleCnt="22"/>
      <dgm:spPr/>
      <dgm:t>
        <a:bodyPr/>
        <a:lstStyle/>
        <a:p>
          <a:endParaRPr lang="en-US"/>
        </a:p>
      </dgm:t>
    </dgm:pt>
    <dgm:pt modelId="{A80B8FE4-9074-401A-9722-2A464E4F09BF}" type="pres">
      <dgm:prSet presAssocID="{8E85575A-A7EA-4271-8F3B-D0A7815B2B90}" presName="childText" presStyleLbl="bgAcc1" presStyleIdx="2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03AEBDF-462E-40A6-B796-C4CC435DB2FF}" type="pres">
      <dgm:prSet presAssocID="{98D2F8D9-DE1E-4D61-A016-99E7E27D63D5}" presName="root" presStyleCnt="0"/>
      <dgm:spPr/>
      <dgm:t>
        <a:bodyPr/>
        <a:lstStyle/>
        <a:p>
          <a:endParaRPr lang="en-US"/>
        </a:p>
      </dgm:t>
    </dgm:pt>
    <dgm:pt modelId="{D036EBAB-ED52-4BE0-ABE9-289EB3D76AFE}" type="pres">
      <dgm:prSet presAssocID="{98D2F8D9-DE1E-4D61-A016-99E7E27D63D5}" presName="rootComposite" presStyleCnt="0"/>
      <dgm:spPr/>
      <dgm:t>
        <a:bodyPr/>
        <a:lstStyle/>
        <a:p>
          <a:endParaRPr lang="en-US"/>
        </a:p>
      </dgm:t>
    </dgm:pt>
    <dgm:pt modelId="{379B2BAF-1A9C-454F-A58C-005796314938}" type="pres">
      <dgm:prSet presAssocID="{98D2F8D9-DE1E-4D61-A016-99E7E27D63D5}" presName="rootText" presStyleLbl="node1" presStyleIdx="2" presStyleCnt="7"/>
      <dgm:spPr/>
      <dgm:t>
        <a:bodyPr/>
        <a:lstStyle/>
        <a:p>
          <a:endParaRPr lang="en-US"/>
        </a:p>
      </dgm:t>
    </dgm:pt>
    <dgm:pt modelId="{53049F50-0DF0-4636-A7E2-778BDEEB36F9}" type="pres">
      <dgm:prSet presAssocID="{98D2F8D9-DE1E-4D61-A016-99E7E27D63D5}" presName="rootConnector" presStyleLbl="node1" presStyleIdx="2" presStyleCnt="7"/>
      <dgm:spPr/>
      <dgm:t>
        <a:bodyPr/>
        <a:lstStyle/>
        <a:p>
          <a:endParaRPr lang="en-US"/>
        </a:p>
      </dgm:t>
    </dgm:pt>
    <dgm:pt modelId="{AC72AE9E-58A3-4744-A8EE-EBC70E14C716}" type="pres">
      <dgm:prSet presAssocID="{98D2F8D9-DE1E-4D61-A016-99E7E27D63D5}" presName="childShape" presStyleCnt="0"/>
      <dgm:spPr/>
      <dgm:t>
        <a:bodyPr/>
        <a:lstStyle/>
        <a:p>
          <a:endParaRPr lang="en-US"/>
        </a:p>
      </dgm:t>
    </dgm:pt>
    <dgm:pt modelId="{BC5C2B50-A515-4271-86CC-934543556BB8}" type="pres">
      <dgm:prSet presAssocID="{2627FD01-050A-4749-8230-D58159619936}" presName="Name13" presStyleLbl="parChTrans1D2" presStyleIdx="3" presStyleCnt="22"/>
      <dgm:spPr/>
      <dgm:t>
        <a:bodyPr/>
        <a:lstStyle/>
        <a:p>
          <a:endParaRPr lang="en-US"/>
        </a:p>
      </dgm:t>
    </dgm:pt>
    <dgm:pt modelId="{9A921049-91B8-4A3A-AA14-259FDCF1D0E5}" type="pres">
      <dgm:prSet presAssocID="{5649B056-56D5-4AA4-82AA-CD53268AD03D}" presName="childText" presStyleLbl="bgAcc1" presStyleIdx="3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5918253-6C55-480F-AE36-0F356D5C42E1}" type="pres">
      <dgm:prSet presAssocID="{3B58CB77-86FF-463D-8D57-532C11BD7B6A}" presName="Name13" presStyleLbl="parChTrans1D2" presStyleIdx="4" presStyleCnt="22"/>
      <dgm:spPr/>
      <dgm:t>
        <a:bodyPr/>
        <a:lstStyle/>
        <a:p>
          <a:endParaRPr lang="en-US"/>
        </a:p>
      </dgm:t>
    </dgm:pt>
    <dgm:pt modelId="{03BBD201-772C-432D-AA22-C01BF022CC5F}" type="pres">
      <dgm:prSet presAssocID="{12212259-6983-43BB-99CA-9F25F27BD62F}" presName="childText" presStyleLbl="bgAcc1" presStyleIdx="4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F5F1D27-4B8F-4E55-A231-34C14E68B699}" type="pres">
      <dgm:prSet presAssocID="{C02F77FD-7896-45B5-A189-C96B9D59A304}" presName="Name13" presStyleLbl="parChTrans1D2" presStyleIdx="5" presStyleCnt="22"/>
      <dgm:spPr/>
      <dgm:t>
        <a:bodyPr/>
        <a:lstStyle/>
        <a:p>
          <a:endParaRPr lang="en-US"/>
        </a:p>
      </dgm:t>
    </dgm:pt>
    <dgm:pt modelId="{C323E7D8-E65B-4125-9E9A-D9D098B1AEBF}" type="pres">
      <dgm:prSet presAssocID="{8C5AD48B-A42F-4F7C-A84D-E3F0D9FDDD85}" presName="childText" presStyleLbl="bgAcc1" presStyleIdx="5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56361F3-EE27-45B1-A357-66131BCBD545}" type="pres">
      <dgm:prSet presAssocID="{7CAC0E67-38C5-47EE-911D-23EC5C35C33A}" presName="Name13" presStyleLbl="parChTrans1D2" presStyleIdx="6" presStyleCnt="22"/>
      <dgm:spPr/>
      <dgm:t>
        <a:bodyPr/>
        <a:lstStyle/>
        <a:p>
          <a:endParaRPr lang="en-US"/>
        </a:p>
      </dgm:t>
    </dgm:pt>
    <dgm:pt modelId="{58820251-D2F3-4B46-8702-81EF762CE16F}" type="pres">
      <dgm:prSet presAssocID="{44827F0E-523F-441C-99C0-CE364918DA1F}" presName="childText" presStyleLbl="bgAcc1" presStyleIdx="6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498812E-53D7-4468-8579-1B9F8A4C4277}" type="pres">
      <dgm:prSet presAssocID="{358D01C8-27BE-4B12-AED0-6D41CA97BD41}" presName="Name13" presStyleLbl="parChTrans1D2" presStyleIdx="7" presStyleCnt="22"/>
      <dgm:spPr/>
      <dgm:t>
        <a:bodyPr/>
        <a:lstStyle/>
        <a:p>
          <a:endParaRPr lang="en-US"/>
        </a:p>
      </dgm:t>
    </dgm:pt>
    <dgm:pt modelId="{93572DE9-911C-4F7A-A752-B8E594FB2A8E}" type="pres">
      <dgm:prSet presAssocID="{BED12463-B488-4665-874D-E5F8E1F8AF41}" presName="childText" presStyleLbl="bgAcc1" presStyleIdx="7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93DB6FE-C7A4-48C2-9371-E5FA934154E4}" type="pres">
      <dgm:prSet presAssocID="{2DA5C39C-95B9-4761-AD86-B6268B6695F3}" presName="Name13" presStyleLbl="parChTrans1D2" presStyleIdx="8" presStyleCnt="22"/>
      <dgm:spPr/>
      <dgm:t>
        <a:bodyPr/>
        <a:lstStyle/>
        <a:p>
          <a:endParaRPr lang="en-US"/>
        </a:p>
      </dgm:t>
    </dgm:pt>
    <dgm:pt modelId="{3EBB106F-BE1B-4D79-BA1B-AE8DE69A0EB3}" type="pres">
      <dgm:prSet presAssocID="{0174113C-2CD6-4E5D-8B41-A41EBC9ADE54}" presName="childText" presStyleLbl="bgAcc1" presStyleIdx="8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1790F47-8BBB-4437-ACC7-07CC4F9CC693}" type="pres">
      <dgm:prSet presAssocID="{5A28B6E0-B4C9-4F1C-816A-6DC93882A426}" presName="Name13" presStyleLbl="parChTrans1D2" presStyleIdx="9" presStyleCnt="22"/>
      <dgm:spPr/>
      <dgm:t>
        <a:bodyPr/>
        <a:lstStyle/>
        <a:p>
          <a:endParaRPr lang="en-US"/>
        </a:p>
      </dgm:t>
    </dgm:pt>
    <dgm:pt modelId="{A440CBA6-314D-42CC-8572-4539632E7E16}" type="pres">
      <dgm:prSet presAssocID="{9341A5A7-C897-4E26-A163-69BAA9AAD7BE}" presName="childText" presStyleLbl="bgAcc1" presStyleIdx="9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6BEB5A0-BBB0-4931-A99E-72989EF37125}" type="pres">
      <dgm:prSet presAssocID="{32D7FDE4-3362-4F5E-BF60-8515DCEA6643}" presName="Name13" presStyleLbl="parChTrans1D2" presStyleIdx="10" presStyleCnt="22"/>
      <dgm:spPr/>
      <dgm:t>
        <a:bodyPr/>
        <a:lstStyle/>
        <a:p>
          <a:endParaRPr lang="en-US"/>
        </a:p>
      </dgm:t>
    </dgm:pt>
    <dgm:pt modelId="{995D6044-5834-4031-9DCE-63EC79ABEDB4}" type="pres">
      <dgm:prSet presAssocID="{E79D5652-86C7-4743-B03B-F36522E0B5F2}" presName="childText" presStyleLbl="bgAcc1" presStyleIdx="1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D08562D-0689-437D-B7B4-44C03C8D180D}" type="pres">
      <dgm:prSet presAssocID="{CBC9CC8F-F3FD-4483-B303-40A357EEDF90}" presName="root" presStyleCnt="0"/>
      <dgm:spPr/>
      <dgm:t>
        <a:bodyPr/>
        <a:lstStyle/>
        <a:p>
          <a:endParaRPr lang="en-US"/>
        </a:p>
      </dgm:t>
    </dgm:pt>
    <dgm:pt modelId="{1405161D-BB80-4EEC-B6BE-08500039DA4F}" type="pres">
      <dgm:prSet presAssocID="{CBC9CC8F-F3FD-4483-B303-40A357EEDF90}" presName="rootComposite" presStyleCnt="0"/>
      <dgm:spPr/>
      <dgm:t>
        <a:bodyPr/>
        <a:lstStyle/>
        <a:p>
          <a:endParaRPr lang="en-US"/>
        </a:p>
      </dgm:t>
    </dgm:pt>
    <dgm:pt modelId="{3748C041-EA41-4A93-9590-60CD98369923}" type="pres">
      <dgm:prSet presAssocID="{CBC9CC8F-F3FD-4483-B303-40A357EEDF90}" presName="rootText" presStyleLbl="node1" presStyleIdx="3" presStyleCnt="7"/>
      <dgm:spPr/>
      <dgm:t>
        <a:bodyPr/>
        <a:lstStyle/>
        <a:p>
          <a:endParaRPr lang="en-US"/>
        </a:p>
      </dgm:t>
    </dgm:pt>
    <dgm:pt modelId="{F7445905-4C9E-416D-A9B5-21F9105FA303}" type="pres">
      <dgm:prSet presAssocID="{CBC9CC8F-F3FD-4483-B303-40A357EEDF90}" presName="rootConnector" presStyleLbl="node1" presStyleIdx="3" presStyleCnt="7"/>
      <dgm:spPr/>
      <dgm:t>
        <a:bodyPr/>
        <a:lstStyle/>
        <a:p>
          <a:endParaRPr lang="en-US"/>
        </a:p>
      </dgm:t>
    </dgm:pt>
    <dgm:pt modelId="{75D0C315-2418-40E9-8DFB-61ED39E8F541}" type="pres">
      <dgm:prSet presAssocID="{CBC9CC8F-F3FD-4483-B303-40A357EEDF90}" presName="childShape" presStyleCnt="0"/>
      <dgm:spPr/>
      <dgm:t>
        <a:bodyPr/>
        <a:lstStyle/>
        <a:p>
          <a:endParaRPr lang="en-US"/>
        </a:p>
      </dgm:t>
    </dgm:pt>
    <dgm:pt modelId="{D1FB1172-AFA9-446A-A26D-3A03E280D53B}" type="pres">
      <dgm:prSet presAssocID="{4E2294F4-39B9-46D4-8522-54C9999EABDE}" presName="Name13" presStyleLbl="parChTrans1D2" presStyleIdx="11" presStyleCnt="22"/>
      <dgm:spPr/>
      <dgm:t>
        <a:bodyPr/>
        <a:lstStyle/>
        <a:p>
          <a:endParaRPr lang="en-US"/>
        </a:p>
      </dgm:t>
    </dgm:pt>
    <dgm:pt modelId="{E994D454-E2E5-416E-BCE1-F94B82D7FB80}" type="pres">
      <dgm:prSet presAssocID="{6489455F-80F6-434B-BB61-CEDDC327660D}" presName="childText" presStyleLbl="bgAcc1" presStyleIdx="1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703D6EB-EDB9-40A5-8423-0CDB042230AB}" type="pres">
      <dgm:prSet presAssocID="{54009020-087D-4BBE-A1AC-4D76596E9F55}" presName="Name13" presStyleLbl="parChTrans1D2" presStyleIdx="12" presStyleCnt="22"/>
      <dgm:spPr/>
      <dgm:t>
        <a:bodyPr/>
        <a:lstStyle/>
        <a:p>
          <a:endParaRPr lang="en-US"/>
        </a:p>
      </dgm:t>
    </dgm:pt>
    <dgm:pt modelId="{C7B8D8BC-1899-4B62-81C0-8ED25A408F28}" type="pres">
      <dgm:prSet presAssocID="{0D8143E2-1606-4412-AE20-73C039DFD1A2}" presName="childText" presStyleLbl="bgAcc1" presStyleIdx="12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9197E39-A95B-42F7-91A7-26558F9BFE88}" type="pres">
      <dgm:prSet presAssocID="{5D144DC2-8AC2-44F5-849D-BD02DAEA6C1D}" presName="Name13" presStyleLbl="parChTrans1D2" presStyleIdx="13" presStyleCnt="22"/>
      <dgm:spPr/>
      <dgm:t>
        <a:bodyPr/>
        <a:lstStyle/>
        <a:p>
          <a:endParaRPr lang="en-US"/>
        </a:p>
      </dgm:t>
    </dgm:pt>
    <dgm:pt modelId="{8CA4C032-3ACC-4BF1-AAD5-3A0B0306AFFD}" type="pres">
      <dgm:prSet presAssocID="{60B946F5-2256-4327-BEA2-A15489229C0D}" presName="childText" presStyleLbl="bgAcc1" presStyleIdx="13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848613D-6C6C-428D-9A07-C546169E034D}" type="pres">
      <dgm:prSet presAssocID="{64B901A5-640F-4F7B-82A4-F061B3B14FE3}" presName="Name13" presStyleLbl="parChTrans1D2" presStyleIdx="14" presStyleCnt="22"/>
      <dgm:spPr/>
      <dgm:t>
        <a:bodyPr/>
        <a:lstStyle/>
        <a:p>
          <a:endParaRPr lang="en-US"/>
        </a:p>
      </dgm:t>
    </dgm:pt>
    <dgm:pt modelId="{DC715828-62E8-4D99-8170-24EF4A285834}" type="pres">
      <dgm:prSet presAssocID="{F34AC33D-2111-42D0-9F1C-C23ED2BC667D}" presName="childText" presStyleLbl="bgAcc1" presStyleIdx="14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172DB0A-576E-4297-8918-C09A2969D0DA}" type="pres">
      <dgm:prSet presAssocID="{43AAF662-0881-4080-BF68-EB0D07B9CEE8}" presName="root" presStyleCnt="0"/>
      <dgm:spPr/>
      <dgm:t>
        <a:bodyPr/>
        <a:lstStyle/>
        <a:p>
          <a:endParaRPr lang="en-US"/>
        </a:p>
      </dgm:t>
    </dgm:pt>
    <dgm:pt modelId="{1D79D40B-F92E-4CFB-84CC-90DD2027070A}" type="pres">
      <dgm:prSet presAssocID="{43AAF662-0881-4080-BF68-EB0D07B9CEE8}" presName="rootComposite" presStyleCnt="0"/>
      <dgm:spPr/>
      <dgm:t>
        <a:bodyPr/>
        <a:lstStyle/>
        <a:p>
          <a:endParaRPr lang="en-US"/>
        </a:p>
      </dgm:t>
    </dgm:pt>
    <dgm:pt modelId="{2DECE9C8-B83A-48AE-889B-E929BFC27E50}" type="pres">
      <dgm:prSet presAssocID="{43AAF662-0881-4080-BF68-EB0D07B9CEE8}" presName="rootText" presStyleLbl="node1" presStyleIdx="4" presStyleCnt="7"/>
      <dgm:spPr/>
      <dgm:t>
        <a:bodyPr/>
        <a:lstStyle/>
        <a:p>
          <a:endParaRPr lang="en-US"/>
        </a:p>
      </dgm:t>
    </dgm:pt>
    <dgm:pt modelId="{19369309-BFBA-4D05-85AD-8888A2C46250}" type="pres">
      <dgm:prSet presAssocID="{43AAF662-0881-4080-BF68-EB0D07B9CEE8}" presName="rootConnector" presStyleLbl="node1" presStyleIdx="4" presStyleCnt="7"/>
      <dgm:spPr/>
      <dgm:t>
        <a:bodyPr/>
        <a:lstStyle/>
        <a:p>
          <a:endParaRPr lang="en-US"/>
        </a:p>
      </dgm:t>
    </dgm:pt>
    <dgm:pt modelId="{188C7C49-CE37-4B15-BCBC-5EA812931359}" type="pres">
      <dgm:prSet presAssocID="{43AAF662-0881-4080-BF68-EB0D07B9CEE8}" presName="childShape" presStyleCnt="0"/>
      <dgm:spPr/>
      <dgm:t>
        <a:bodyPr/>
        <a:lstStyle/>
        <a:p>
          <a:endParaRPr lang="en-US"/>
        </a:p>
      </dgm:t>
    </dgm:pt>
    <dgm:pt modelId="{0719AB96-C587-40E4-96C6-425B6717176E}" type="pres">
      <dgm:prSet presAssocID="{74039833-BC26-44A9-A875-11DEAFDC68EC}" presName="Name13" presStyleLbl="parChTrans1D2" presStyleIdx="15" presStyleCnt="22"/>
      <dgm:spPr/>
      <dgm:t>
        <a:bodyPr/>
        <a:lstStyle/>
        <a:p>
          <a:endParaRPr lang="en-US"/>
        </a:p>
      </dgm:t>
    </dgm:pt>
    <dgm:pt modelId="{1D577D15-503F-4A0D-9C16-A39AD9CC1DD7}" type="pres">
      <dgm:prSet presAssocID="{B1EAE28B-90E0-4D57-B68D-A6FCDC8FDBD3}" presName="childText" presStyleLbl="bgAcc1" presStyleIdx="15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001E38C-21FA-452F-BC86-20CF491C5686}" type="pres">
      <dgm:prSet presAssocID="{464BCB16-4118-4DF0-B1A8-8E320BBDF076}" presName="Name13" presStyleLbl="parChTrans1D2" presStyleIdx="16" presStyleCnt="22"/>
      <dgm:spPr/>
      <dgm:t>
        <a:bodyPr/>
        <a:lstStyle/>
        <a:p>
          <a:endParaRPr lang="en-US"/>
        </a:p>
      </dgm:t>
    </dgm:pt>
    <dgm:pt modelId="{61638565-CC78-4C95-8C11-00065DEF7B1F}" type="pres">
      <dgm:prSet presAssocID="{3FDF3371-FC6E-4496-8635-D7EE93D44789}" presName="childText" presStyleLbl="bgAcc1" presStyleIdx="16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690AF62-7F7A-4879-BD2B-1AF000A85EB8}" type="pres">
      <dgm:prSet presAssocID="{5E78A0CE-6639-47D1-A22D-08C260E88399}" presName="root" presStyleCnt="0"/>
      <dgm:spPr/>
      <dgm:t>
        <a:bodyPr/>
        <a:lstStyle/>
        <a:p>
          <a:endParaRPr lang="en-US"/>
        </a:p>
      </dgm:t>
    </dgm:pt>
    <dgm:pt modelId="{545A4D26-63D3-4F30-B082-0E8B75D652BC}" type="pres">
      <dgm:prSet presAssocID="{5E78A0CE-6639-47D1-A22D-08C260E88399}" presName="rootComposite" presStyleCnt="0"/>
      <dgm:spPr/>
      <dgm:t>
        <a:bodyPr/>
        <a:lstStyle/>
        <a:p>
          <a:endParaRPr lang="en-US"/>
        </a:p>
      </dgm:t>
    </dgm:pt>
    <dgm:pt modelId="{5A7E18E1-69C0-4021-9B6A-505B409006FA}" type="pres">
      <dgm:prSet presAssocID="{5E78A0CE-6639-47D1-A22D-08C260E88399}" presName="rootText" presStyleLbl="node1" presStyleIdx="5" presStyleCnt="7"/>
      <dgm:spPr/>
      <dgm:t>
        <a:bodyPr/>
        <a:lstStyle/>
        <a:p>
          <a:endParaRPr lang="en-US"/>
        </a:p>
      </dgm:t>
    </dgm:pt>
    <dgm:pt modelId="{ED20D0AC-A1DA-4AFA-B3ED-912D72A30C6E}" type="pres">
      <dgm:prSet presAssocID="{5E78A0CE-6639-47D1-A22D-08C260E88399}" presName="rootConnector" presStyleLbl="node1" presStyleIdx="5" presStyleCnt="7"/>
      <dgm:spPr/>
      <dgm:t>
        <a:bodyPr/>
        <a:lstStyle/>
        <a:p>
          <a:endParaRPr lang="en-US"/>
        </a:p>
      </dgm:t>
    </dgm:pt>
    <dgm:pt modelId="{6C04CC75-B54C-45C4-82F1-C2567A185033}" type="pres">
      <dgm:prSet presAssocID="{5E78A0CE-6639-47D1-A22D-08C260E88399}" presName="childShape" presStyleCnt="0"/>
      <dgm:spPr/>
      <dgm:t>
        <a:bodyPr/>
        <a:lstStyle/>
        <a:p>
          <a:endParaRPr lang="en-US"/>
        </a:p>
      </dgm:t>
    </dgm:pt>
    <dgm:pt modelId="{5CD106C4-E62E-4DC0-835F-5CC799E97700}" type="pres">
      <dgm:prSet presAssocID="{7144E0AD-27C0-404D-BE69-02666B3FE8BC}" presName="Name13" presStyleLbl="parChTrans1D2" presStyleIdx="17" presStyleCnt="22"/>
      <dgm:spPr/>
      <dgm:t>
        <a:bodyPr/>
        <a:lstStyle/>
        <a:p>
          <a:endParaRPr lang="en-US"/>
        </a:p>
      </dgm:t>
    </dgm:pt>
    <dgm:pt modelId="{FB9B44EC-A0CC-448F-A9DD-84D0B7EEC3E0}" type="pres">
      <dgm:prSet presAssocID="{E9E6D379-A03E-4FF1-B813-56610C24B965}" presName="childText" presStyleLbl="bgAcc1" presStyleIdx="17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5D54414-4FDB-4CB6-AFC7-FCB1D75D488B}" type="pres">
      <dgm:prSet presAssocID="{6B950E6A-9695-48E2-98E4-44C1D9811253}" presName="Name13" presStyleLbl="parChTrans1D2" presStyleIdx="18" presStyleCnt="22"/>
      <dgm:spPr/>
      <dgm:t>
        <a:bodyPr/>
        <a:lstStyle/>
        <a:p>
          <a:endParaRPr lang="en-US"/>
        </a:p>
      </dgm:t>
    </dgm:pt>
    <dgm:pt modelId="{8491EB98-4E3A-4DB3-BAA5-3DBF92E37C10}" type="pres">
      <dgm:prSet presAssocID="{E5E487F8-1E3F-4D2A-A839-B18A370998CD}" presName="childText" presStyleLbl="bgAcc1" presStyleIdx="18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7ACDCD-68BF-432F-86D2-217C490C0C93}" type="pres">
      <dgm:prSet presAssocID="{C53853EC-3A84-4D2C-9F24-D09B1B4D6263}" presName="Name13" presStyleLbl="parChTrans1D2" presStyleIdx="19" presStyleCnt="22"/>
      <dgm:spPr/>
      <dgm:t>
        <a:bodyPr/>
        <a:lstStyle/>
        <a:p>
          <a:endParaRPr lang="en-US"/>
        </a:p>
      </dgm:t>
    </dgm:pt>
    <dgm:pt modelId="{D202B7D0-8780-4326-8038-E6940780A628}" type="pres">
      <dgm:prSet presAssocID="{7D9DA392-3C27-4037-9559-01D922053439}" presName="childText" presStyleLbl="bgAcc1" presStyleIdx="19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21E8990-7029-4A2D-8D7F-C0C7536E5079}" type="pres">
      <dgm:prSet presAssocID="{80A3C601-EA4B-4A55-AB41-5778CAF4D346}" presName="Name13" presStyleLbl="parChTrans1D2" presStyleIdx="20" presStyleCnt="22"/>
      <dgm:spPr/>
      <dgm:t>
        <a:bodyPr/>
        <a:lstStyle/>
        <a:p>
          <a:endParaRPr lang="en-US"/>
        </a:p>
      </dgm:t>
    </dgm:pt>
    <dgm:pt modelId="{D2CBF289-D46E-4FFE-B5B9-FE327EA08CA6}" type="pres">
      <dgm:prSet presAssocID="{BDD7587E-087F-4680-853B-6D955BE42EC0}" presName="childText" presStyleLbl="bgAcc1" presStyleIdx="20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0E0682B-E811-4D24-ACD1-DD7CC2612F8E}" type="pres">
      <dgm:prSet presAssocID="{EA26AAB0-F9E4-47B7-AF9E-4C2130283A88}" presName="root" presStyleCnt="0"/>
      <dgm:spPr/>
      <dgm:t>
        <a:bodyPr/>
        <a:lstStyle/>
        <a:p>
          <a:endParaRPr lang="en-US"/>
        </a:p>
      </dgm:t>
    </dgm:pt>
    <dgm:pt modelId="{32F3A974-BD32-4951-BE5B-6C26ABF08B94}" type="pres">
      <dgm:prSet presAssocID="{EA26AAB0-F9E4-47B7-AF9E-4C2130283A88}" presName="rootComposite" presStyleCnt="0"/>
      <dgm:spPr/>
      <dgm:t>
        <a:bodyPr/>
        <a:lstStyle/>
        <a:p>
          <a:endParaRPr lang="en-US"/>
        </a:p>
      </dgm:t>
    </dgm:pt>
    <dgm:pt modelId="{56A1F6A0-D56E-4B94-B808-88E68B8E8F8E}" type="pres">
      <dgm:prSet presAssocID="{EA26AAB0-F9E4-47B7-AF9E-4C2130283A88}" presName="rootText" presStyleLbl="node1" presStyleIdx="6" presStyleCnt="7"/>
      <dgm:spPr/>
      <dgm:t>
        <a:bodyPr/>
        <a:lstStyle/>
        <a:p>
          <a:endParaRPr lang="en-US"/>
        </a:p>
      </dgm:t>
    </dgm:pt>
    <dgm:pt modelId="{E4EFBA96-EED8-45D7-8EE5-6C29201CC0B4}" type="pres">
      <dgm:prSet presAssocID="{EA26AAB0-F9E4-47B7-AF9E-4C2130283A88}" presName="rootConnector" presStyleLbl="node1" presStyleIdx="6" presStyleCnt="7"/>
      <dgm:spPr/>
      <dgm:t>
        <a:bodyPr/>
        <a:lstStyle/>
        <a:p>
          <a:endParaRPr lang="en-US"/>
        </a:p>
      </dgm:t>
    </dgm:pt>
    <dgm:pt modelId="{5F7B9DAD-C1E9-4603-BB0B-B9024B67B869}" type="pres">
      <dgm:prSet presAssocID="{EA26AAB0-F9E4-47B7-AF9E-4C2130283A88}" presName="childShape" presStyleCnt="0"/>
      <dgm:spPr/>
      <dgm:t>
        <a:bodyPr/>
        <a:lstStyle/>
        <a:p>
          <a:endParaRPr lang="en-US"/>
        </a:p>
      </dgm:t>
    </dgm:pt>
    <dgm:pt modelId="{138C18B5-66CF-41EB-A54E-B25E277E409B}" type="pres">
      <dgm:prSet presAssocID="{69344858-5C29-4698-83EE-AF27120DCB21}" presName="Name13" presStyleLbl="parChTrans1D2" presStyleIdx="21" presStyleCnt="22"/>
      <dgm:spPr/>
      <dgm:t>
        <a:bodyPr/>
        <a:lstStyle/>
        <a:p>
          <a:endParaRPr lang="en-US"/>
        </a:p>
      </dgm:t>
    </dgm:pt>
    <dgm:pt modelId="{0BBBD97B-D943-4276-AAE7-E2D905D1B2CC}" type="pres">
      <dgm:prSet presAssocID="{EA321920-B290-4615-87CD-E0BB9BB6C5AE}" presName="childText" presStyleLbl="bgAcc1" presStyleIdx="21" presStyleCnt="2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004DB0D0-BBFE-49C7-B20F-44A8BDEC1595}" type="presOf" srcId="{B1EAE28B-90E0-4D57-B68D-A6FCDC8FDBD3}" destId="{1D577D15-503F-4A0D-9C16-A39AD9CC1DD7}" srcOrd="0" destOrd="0" presId="urn:microsoft.com/office/officeart/2005/8/layout/hierarchy3"/>
    <dgm:cxn modelId="{18A3A791-B1C0-41D4-9F17-8FACF553B5E2}" type="presOf" srcId="{34624F11-1C58-460A-8D46-15AAF64C6D44}" destId="{6BB92361-E599-4E7F-97AA-7A5B74C9BEE2}" srcOrd="0" destOrd="0" presId="urn:microsoft.com/office/officeart/2005/8/layout/hierarchy3"/>
    <dgm:cxn modelId="{1FE2CB87-E112-4271-BA4F-CAE40E1FCB86}" srcId="{0539338E-C4C7-4165-BCEF-EB11F591B821}" destId="{5C264A5D-E3FD-4F21-B608-ECC4037F9DB9}" srcOrd="0" destOrd="0" parTransId="{8D3078E3-FC05-4D1B-9AFA-2EFD6DECAC88}" sibTransId="{CF5ED709-C809-4FDE-A721-D3CF56226BBD}"/>
    <dgm:cxn modelId="{756B8BF4-9508-461E-8814-3E40A22E4180}" type="presOf" srcId="{EA321920-B290-4615-87CD-E0BB9BB6C5AE}" destId="{0BBBD97B-D943-4276-AAE7-E2D905D1B2CC}" srcOrd="0" destOrd="0" presId="urn:microsoft.com/office/officeart/2005/8/layout/hierarchy3"/>
    <dgm:cxn modelId="{2D50DDB0-5246-47E9-B65D-7A8D9C4EF001}" type="presOf" srcId="{7144E0AD-27C0-404D-BE69-02666B3FE8BC}" destId="{5CD106C4-E62E-4DC0-835F-5CC799E97700}" srcOrd="0" destOrd="0" presId="urn:microsoft.com/office/officeart/2005/8/layout/hierarchy3"/>
    <dgm:cxn modelId="{37F47CAA-E6CD-4733-8F1B-BAB490932110}" type="presOf" srcId="{E79D5652-86C7-4743-B03B-F36522E0B5F2}" destId="{995D6044-5834-4031-9DCE-63EC79ABEDB4}" srcOrd="0" destOrd="0" presId="urn:microsoft.com/office/officeart/2005/8/layout/hierarchy3"/>
    <dgm:cxn modelId="{0E5DED9A-48AF-4293-85B3-4B51235D29F7}" type="presOf" srcId="{7CAC0E67-38C5-47EE-911D-23EC5C35C33A}" destId="{056361F3-EE27-45B1-A357-66131BCBD545}" srcOrd="0" destOrd="0" presId="urn:microsoft.com/office/officeart/2005/8/layout/hierarchy3"/>
    <dgm:cxn modelId="{1F30EE9E-1520-4166-808B-1C24DB09D3C3}" type="presOf" srcId="{8D3078E3-FC05-4D1B-9AFA-2EFD6DECAC88}" destId="{B876B7DC-2D3A-4A93-9130-0D631468768B}" srcOrd="0" destOrd="0" presId="urn:microsoft.com/office/officeart/2005/8/layout/hierarchy3"/>
    <dgm:cxn modelId="{348B3732-F608-4FF4-9CE3-B048F09BDF26}" type="presOf" srcId="{8C5AD48B-A42F-4F7C-A84D-E3F0D9FDDD85}" destId="{C323E7D8-E65B-4125-9E9A-D9D098B1AEBF}" srcOrd="0" destOrd="0" presId="urn:microsoft.com/office/officeart/2005/8/layout/hierarchy3"/>
    <dgm:cxn modelId="{7C33AE59-207C-49C9-A6F0-AA34ED9E9CEF}" type="presOf" srcId="{5649B056-56D5-4AA4-82AA-CD53268AD03D}" destId="{9A921049-91B8-4A3A-AA14-259FDCF1D0E5}" srcOrd="0" destOrd="0" presId="urn:microsoft.com/office/officeart/2005/8/layout/hierarchy3"/>
    <dgm:cxn modelId="{4E35D4E6-E289-40B2-870C-6F04F1F44F81}" srcId="{98D2F8D9-DE1E-4D61-A016-99E7E27D63D5}" destId="{44827F0E-523F-441C-99C0-CE364918DA1F}" srcOrd="3" destOrd="0" parTransId="{7CAC0E67-38C5-47EE-911D-23EC5C35C33A}" sibTransId="{7EFDA6AE-386F-4C64-94A1-243FD85078AE}"/>
    <dgm:cxn modelId="{DD92B138-5B79-4FCB-AE94-56BBA62D7B7E}" type="presOf" srcId="{5D144DC2-8AC2-44F5-849D-BD02DAEA6C1D}" destId="{59197E39-A95B-42F7-91A7-26558F9BFE88}" srcOrd="0" destOrd="0" presId="urn:microsoft.com/office/officeart/2005/8/layout/hierarchy3"/>
    <dgm:cxn modelId="{D67DB0E7-57F9-42C1-AE12-E403723F4750}" srcId="{5E78A0CE-6639-47D1-A22D-08C260E88399}" destId="{E9E6D379-A03E-4FF1-B813-56610C24B965}" srcOrd="0" destOrd="0" parTransId="{7144E0AD-27C0-404D-BE69-02666B3FE8BC}" sibTransId="{9C43E274-EBBE-4916-9063-CFF8331A4D56}"/>
    <dgm:cxn modelId="{D270ED17-24A9-402A-B402-54E4F3AEC449}" srcId="{5E78A0CE-6639-47D1-A22D-08C260E88399}" destId="{E5E487F8-1E3F-4D2A-A839-B18A370998CD}" srcOrd="1" destOrd="0" parTransId="{6B950E6A-9695-48E2-98E4-44C1D9811253}" sibTransId="{6D7C097C-6F26-4B8A-9C55-9BDFBF407618}"/>
    <dgm:cxn modelId="{AB03C7D8-E34F-469C-86DF-DDC94AB40D1E}" type="presOf" srcId="{05B3ED5E-CB11-4A9E-90C0-B5013182E685}" destId="{93DCCB92-ADB5-4910-AC56-2CBCE7DAF12C}" srcOrd="0" destOrd="0" presId="urn:microsoft.com/office/officeart/2005/8/layout/hierarchy3"/>
    <dgm:cxn modelId="{9CF05CA4-E3D0-4035-8C49-067003D4A32A}" type="presOf" srcId="{C53853EC-3A84-4D2C-9F24-D09B1B4D6263}" destId="{FE7ACDCD-68BF-432F-86D2-217C490C0C93}" srcOrd="0" destOrd="0" presId="urn:microsoft.com/office/officeart/2005/8/layout/hierarchy3"/>
    <dgm:cxn modelId="{8573998F-F16E-4113-8083-000D59667C33}" srcId="{EA26AAB0-F9E4-47B7-AF9E-4C2130283A88}" destId="{EA321920-B290-4615-87CD-E0BB9BB6C5AE}" srcOrd="0" destOrd="0" parTransId="{69344858-5C29-4698-83EE-AF27120DCB21}" sibTransId="{25247E2C-27F7-417C-A917-E4DBAE1C4951}"/>
    <dgm:cxn modelId="{524CB229-E416-4A09-8959-2B7553709934}" srcId="{CBC9CC8F-F3FD-4483-B303-40A357EEDF90}" destId="{F34AC33D-2111-42D0-9F1C-C23ED2BC667D}" srcOrd="3" destOrd="0" parTransId="{64B901A5-640F-4F7B-82A4-F061B3B14FE3}" sibTransId="{FFABD394-8490-40E2-9225-53AC92A9D921}"/>
    <dgm:cxn modelId="{ADCE317D-A667-469A-8109-F58772A35D00}" type="presOf" srcId="{E5E487F8-1E3F-4D2A-A839-B18A370998CD}" destId="{8491EB98-4E3A-4DB3-BAA5-3DBF92E37C10}" srcOrd="0" destOrd="0" presId="urn:microsoft.com/office/officeart/2005/8/layout/hierarchy3"/>
    <dgm:cxn modelId="{FA91F142-28C9-4BD4-BE7F-73B4CA3CB9A0}" type="presOf" srcId="{0539338E-C4C7-4165-BCEF-EB11F591B821}" destId="{173AFAA8-7C51-4DEB-90B5-F6D51304CD62}" srcOrd="1" destOrd="0" presId="urn:microsoft.com/office/officeart/2005/8/layout/hierarchy3"/>
    <dgm:cxn modelId="{FFB4E023-B0A0-4746-B670-7BD6C43C0395}" srcId="{05B3ED5E-CB11-4A9E-90C0-B5013182E685}" destId="{B1F4F874-4032-4AF1-BC6E-181B1B52B590}" srcOrd="0" destOrd="0" parTransId="{34624F11-1C58-460A-8D46-15AAF64C6D44}" sibTransId="{CDF5F7B4-04F5-4A71-81ED-33563AA7B7CE}"/>
    <dgm:cxn modelId="{4D1AC38F-6CC8-43F0-B741-142A29138AF6}" srcId="{CBC9CC8F-F3FD-4483-B303-40A357EEDF90}" destId="{6489455F-80F6-434B-BB61-CEDDC327660D}" srcOrd="0" destOrd="0" parTransId="{4E2294F4-39B9-46D4-8522-54C9999EABDE}" sibTransId="{575394E8-2E43-47A0-9C68-99D952104BF4}"/>
    <dgm:cxn modelId="{EE45BC21-A029-40FE-8A4F-F5315AF3ADD2}" srcId="{98D2F8D9-DE1E-4D61-A016-99E7E27D63D5}" destId="{BED12463-B488-4665-874D-E5F8E1F8AF41}" srcOrd="4" destOrd="0" parTransId="{358D01C8-27BE-4B12-AED0-6D41CA97BD41}" sibTransId="{3C17E1F2-7090-464C-9C93-668E56C2D951}"/>
    <dgm:cxn modelId="{1210AE83-AF55-4863-93D2-1CB9907FDA3F}" type="presOf" srcId="{5E78A0CE-6639-47D1-A22D-08C260E88399}" destId="{5A7E18E1-69C0-4021-9B6A-505B409006FA}" srcOrd="0" destOrd="0" presId="urn:microsoft.com/office/officeart/2005/8/layout/hierarchy3"/>
    <dgm:cxn modelId="{7DC6D682-20AD-4985-B49C-8F613E483182}" type="presOf" srcId="{B7C724A2-B9D7-4191-9426-FB3095F6AE57}" destId="{CD86FFCB-C23D-4D93-BBB3-BCFACBB55F29}" srcOrd="0" destOrd="0" presId="urn:microsoft.com/office/officeart/2005/8/layout/hierarchy3"/>
    <dgm:cxn modelId="{80822E10-C826-4412-BF18-F714E3CF7775}" srcId="{98D2F8D9-DE1E-4D61-A016-99E7E27D63D5}" destId="{8C5AD48B-A42F-4F7C-A84D-E3F0D9FDDD85}" srcOrd="2" destOrd="0" parTransId="{C02F77FD-7896-45B5-A189-C96B9D59A304}" sibTransId="{D21097C9-DF89-48F0-8E18-5ADAD68A2CF1}"/>
    <dgm:cxn modelId="{B4EA9A4C-5AB2-4E62-8378-96475CD439D3}" srcId="{5E78A0CE-6639-47D1-A22D-08C260E88399}" destId="{7D9DA392-3C27-4037-9559-01D922053439}" srcOrd="2" destOrd="0" parTransId="{C53853EC-3A84-4D2C-9F24-D09B1B4D6263}" sibTransId="{139D898E-D57B-4997-8D56-C31493309B8D}"/>
    <dgm:cxn modelId="{0A4E3267-4DC0-446F-8015-845480F09D01}" srcId="{43AAF662-0881-4080-BF68-EB0D07B9CEE8}" destId="{B1EAE28B-90E0-4D57-B68D-A6FCDC8FDBD3}" srcOrd="0" destOrd="0" parTransId="{74039833-BC26-44A9-A875-11DEAFDC68EC}" sibTransId="{4B43BB7B-EEDA-499A-941E-531C3E808266}"/>
    <dgm:cxn modelId="{80C14EA5-C823-4364-91F2-EF16F3F6FE4C}" type="presOf" srcId="{3FDF3371-FC6E-4496-8635-D7EE93D44789}" destId="{61638565-CC78-4C95-8C11-00065DEF7B1F}" srcOrd="0" destOrd="0" presId="urn:microsoft.com/office/officeart/2005/8/layout/hierarchy3"/>
    <dgm:cxn modelId="{0E857A91-32D9-4FB0-9381-5CAB1B873B9E}" type="presOf" srcId="{69344858-5C29-4698-83EE-AF27120DCB21}" destId="{138C18B5-66CF-41EB-A54E-B25E277E409B}" srcOrd="0" destOrd="0" presId="urn:microsoft.com/office/officeart/2005/8/layout/hierarchy3"/>
    <dgm:cxn modelId="{31989F0F-40F7-4236-8C48-49312EA0EF0F}" type="presOf" srcId="{98D2F8D9-DE1E-4D61-A016-99E7E27D63D5}" destId="{379B2BAF-1A9C-454F-A58C-005796314938}" srcOrd="0" destOrd="0" presId="urn:microsoft.com/office/officeart/2005/8/layout/hierarchy3"/>
    <dgm:cxn modelId="{27FD1315-F521-4AB0-999B-9C5B98E211C3}" type="presOf" srcId="{54009020-087D-4BBE-A1AC-4D76596E9F55}" destId="{5703D6EB-EDB9-40A5-8423-0CDB042230AB}" srcOrd="0" destOrd="0" presId="urn:microsoft.com/office/officeart/2005/8/layout/hierarchy3"/>
    <dgm:cxn modelId="{82075E68-6DDA-42F1-99E9-19E1EA52293A}" srcId="{A72EB0F7-B6A9-44BB-A26D-1E0C06E9DA59}" destId="{CBC9CC8F-F3FD-4483-B303-40A357EEDF90}" srcOrd="3" destOrd="0" parTransId="{6575D5B0-F498-4007-8B56-BC0CCEE28FA8}" sibTransId="{E6349209-663D-4820-8C5A-9907F31DBAC3}"/>
    <dgm:cxn modelId="{A2462553-4FA5-46C5-AD6F-FF6A9F6BECFA}" srcId="{5E78A0CE-6639-47D1-A22D-08C260E88399}" destId="{BDD7587E-087F-4680-853B-6D955BE42EC0}" srcOrd="3" destOrd="0" parTransId="{80A3C601-EA4B-4A55-AB41-5778CAF4D346}" sibTransId="{9B691258-3734-4842-810E-4452A632DED1}"/>
    <dgm:cxn modelId="{180A6A31-3D9D-4973-A25E-3719D5AAEEC2}" type="presOf" srcId="{A72EB0F7-B6A9-44BB-A26D-1E0C06E9DA59}" destId="{030C49F4-E431-46AA-8B0A-B72FFACAC94A}" srcOrd="0" destOrd="0" presId="urn:microsoft.com/office/officeart/2005/8/layout/hierarchy3"/>
    <dgm:cxn modelId="{D3468AD8-667F-4589-88E6-DB2CA947934A}" type="presOf" srcId="{3B58CB77-86FF-463D-8D57-532C11BD7B6A}" destId="{D5918253-6C55-480F-AE36-0F356D5C42E1}" srcOrd="0" destOrd="0" presId="urn:microsoft.com/office/officeart/2005/8/layout/hierarchy3"/>
    <dgm:cxn modelId="{88E72A5C-82E6-4CCB-960E-54B462277C19}" type="presOf" srcId="{4E2294F4-39B9-46D4-8522-54C9999EABDE}" destId="{D1FB1172-AFA9-446A-A26D-3A03E280D53B}" srcOrd="0" destOrd="0" presId="urn:microsoft.com/office/officeart/2005/8/layout/hierarchy3"/>
    <dgm:cxn modelId="{E8A52A14-9FC6-4E31-9B03-37761064565D}" srcId="{A72EB0F7-B6A9-44BB-A26D-1E0C06E9DA59}" destId="{43AAF662-0881-4080-BF68-EB0D07B9CEE8}" srcOrd="4" destOrd="0" parTransId="{FABDF4B9-9689-4779-88B0-6C106B52B573}" sibTransId="{AE698D83-3C58-43E0-B281-F4F1BE74E205}"/>
    <dgm:cxn modelId="{F3204CC3-E87C-4CBF-BE0D-DB4F91116BEC}" type="presOf" srcId="{98D2F8D9-DE1E-4D61-A016-99E7E27D63D5}" destId="{53049F50-0DF0-4636-A7E2-778BDEEB36F9}" srcOrd="1" destOrd="0" presId="urn:microsoft.com/office/officeart/2005/8/layout/hierarchy3"/>
    <dgm:cxn modelId="{454B63E2-0DD8-4D22-9554-61C6E493211F}" srcId="{A72EB0F7-B6A9-44BB-A26D-1E0C06E9DA59}" destId="{0539338E-C4C7-4165-BCEF-EB11F591B821}" srcOrd="0" destOrd="0" parTransId="{628DA594-036C-4501-AF80-1B283677D4C2}" sibTransId="{9BE6EC1F-9AA4-421A-AAFF-A11D0421A727}"/>
    <dgm:cxn modelId="{BEA0BE03-BBAF-4E5F-9F7B-9A60961AE51A}" type="presOf" srcId="{5C264A5D-E3FD-4F21-B608-ECC4037F9DB9}" destId="{97A239C6-68EA-4538-BF7F-01532DE4A656}" srcOrd="0" destOrd="0" presId="urn:microsoft.com/office/officeart/2005/8/layout/hierarchy3"/>
    <dgm:cxn modelId="{660042FE-17E4-436A-ADF3-20CB87F9545C}" type="presOf" srcId="{B1F4F874-4032-4AF1-BC6E-181B1B52B590}" destId="{1C3C0FAB-22E4-4F5D-BA18-CC6D0E8FF971}" srcOrd="0" destOrd="0" presId="urn:microsoft.com/office/officeart/2005/8/layout/hierarchy3"/>
    <dgm:cxn modelId="{FF500980-B659-4801-8B08-6ECADFFAA6A2}" type="presOf" srcId="{44827F0E-523F-441C-99C0-CE364918DA1F}" destId="{58820251-D2F3-4B46-8702-81EF762CE16F}" srcOrd="0" destOrd="0" presId="urn:microsoft.com/office/officeart/2005/8/layout/hierarchy3"/>
    <dgm:cxn modelId="{833565A2-B4A8-4353-98BF-500D27093C7D}" srcId="{A72EB0F7-B6A9-44BB-A26D-1E0C06E9DA59}" destId="{05B3ED5E-CB11-4A9E-90C0-B5013182E685}" srcOrd="1" destOrd="0" parTransId="{1A14A07D-5133-4909-90B4-6E17F75A112F}" sibTransId="{79FC6A76-FFB3-485F-B760-878067765306}"/>
    <dgm:cxn modelId="{5D165998-CE39-4D48-B3BF-101C784BCE16}" type="presOf" srcId="{EA26AAB0-F9E4-47B7-AF9E-4C2130283A88}" destId="{56A1F6A0-D56E-4B94-B808-88E68B8E8F8E}" srcOrd="0" destOrd="0" presId="urn:microsoft.com/office/officeart/2005/8/layout/hierarchy3"/>
    <dgm:cxn modelId="{CED22CEC-39D3-43BC-8232-63D20754AD72}" srcId="{A72EB0F7-B6A9-44BB-A26D-1E0C06E9DA59}" destId="{5E78A0CE-6639-47D1-A22D-08C260E88399}" srcOrd="5" destOrd="0" parTransId="{0AB6517D-16F3-4CDA-A6D9-269FCD452D4C}" sibTransId="{FD1975BC-DFA6-47B1-A08D-526E34C4C2D9}"/>
    <dgm:cxn modelId="{1B735B47-708F-4D85-A192-893517BD51BC}" srcId="{43AAF662-0881-4080-BF68-EB0D07B9CEE8}" destId="{3FDF3371-FC6E-4496-8635-D7EE93D44789}" srcOrd="1" destOrd="0" parTransId="{464BCB16-4118-4DF0-B1A8-8E320BBDF076}" sibTransId="{E82E234C-78E1-420D-88A8-F037E7C98E0D}"/>
    <dgm:cxn modelId="{F3273601-848A-4324-BC32-ACFEA50C6E92}" type="presOf" srcId="{5E78A0CE-6639-47D1-A22D-08C260E88399}" destId="{ED20D0AC-A1DA-4AFA-B3ED-912D72A30C6E}" srcOrd="1" destOrd="0" presId="urn:microsoft.com/office/officeart/2005/8/layout/hierarchy3"/>
    <dgm:cxn modelId="{0404AA2D-1CE0-48C0-A6D5-EEDBB8681B1A}" type="presOf" srcId="{0D8143E2-1606-4412-AE20-73C039DFD1A2}" destId="{C7B8D8BC-1899-4B62-81C0-8ED25A408F28}" srcOrd="0" destOrd="0" presId="urn:microsoft.com/office/officeart/2005/8/layout/hierarchy3"/>
    <dgm:cxn modelId="{A3103BB2-E396-4501-AB64-B4EB9DBF98E1}" type="presOf" srcId="{0174113C-2CD6-4E5D-8B41-A41EBC9ADE54}" destId="{3EBB106F-BE1B-4D79-BA1B-AE8DE69A0EB3}" srcOrd="0" destOrd="0" presId="urn:microsoft.com/office/officeart/2005/8/layout/hierarchy3"/>
    <dgm:cxn modelId="{74A653C9-1335-4799-8473-3E4E0038D8ED}" type="presOf" srcId="{80A3C601-EA4B-4A55-AB41-5778CAF4D346}" destId="{221E8990-7029-4A2D-8D7F-C0C7536E5079}" srcOrd="0" destOrd="0" presId="urn:microsoft.com/office/officeart/2005/8/layout/hierarchy3"/>
    <dgm:cxn modelId="{AE62E8F2-DBFD-449A-A820-437E84CAEAB1}" type="presOf" srcId="{43AAF662-0881-4080-BF68-EB0D07B9CEE8}" destId="{2DECE9C8-B83A-48AE-889B-E929BFC27E50}" srcOrd="0" destOrd="0" presId="urn:microsoft.com/office/officeart/2005/8/layout/hierarchy3"/>
    <dgm:cxn modelId="{D7EB37DF-81D8-4741-87F4-A448989FFF2C}" srcId="{98D2F8D9-DE1E-4D61-A016-99E7E27D63D5}" destId="{E79D5652-86C7-4743-B03B-F36522E0B5F2}" srcOrd="7" destOrd="0" parTransId="{32D7FDE4-3362-4F5E-BF60-8515DCEA6643}" sibTransId="{6B49636D-0591-45E3-A08D-7C76B5F4A91F}"/>
    <dgm:cxn modelId="{430EC3F2-10CC-40FC-8869-EE7F2CFBA80E}" srcId="{98D2F8D9-DE1E-4D61-A016-99E7E27D63D5}" destId="{12212259-6983-43BB-99CA-9F25F27BD62F}" srcOrd="1" destOrd="0" parTransId="{3B58CB77-86FF-463D-8D57-532C11BD7B6A}" sibTransId="{BF650D63-11C9-49AE-AAA8-1B2F6A2C0BB2}"/>
    <dgm:cxn modelId="{6BB07A99-24D1-49FD-8BE0-B96FCF967B8E}" srcId="{98D2F8D9-DE1E-4D61-A016-99E7E27D63D5}" destId="{5649B056-56D5-4AA4-82AA-CD53268AD03D}" srcOrd="0" destOrd="0" parTransId="{2627FD01-050A-4749-8230-D58159619936}" sibTransId="{6FEED42F-20AB-4684-AAD7-06FAF775744D}"/>
    <dgm:cxn modelId="{47339213-0E4A-41C0-8684-930589BB399C}" type="presOf" srcId="{64B901A5-640F-4F7B-82A4-F061B3B14FE3}" destId="{4848613D-6C6C-428D-9A07-C546169E034D}" srcOrd="0" destOrd="0" presId="urn:microsoft.com/office/officeart/2005/8/layout/hierarchy3"/>
    <dgm:cxn modelId="{27386EC3-4152-4450-BDC5-0F623F293DC9}" type="presOf" srcId="{7D9DA392-3C27-4037-9559-01D922053439}" destId="{D202B7D0-8780-4326-8038-E6940780A628}" srcOrd="0" destOrd="0" presId="urn:microsoft.com/office/officeart/2005/8/layout/hierarchy3"/>
    <dgm:cxn modelId="{ABBADD6C-2E8B-4006-B465-97D554A75013}" srcId="{A72EB0F7-B6A9-44BB-A26D-1E0C06E9DA59}" destId="{EA26AAB0-F9E4-47B7-AF9E-4C2130283A88}" srcOrd="6" destOrd="0" parTransId="{E19C0EA4-05C6-4704-BD94-DF66EDBF7CA5}" sibTransId="{191BEF9A-CE91-4798-A40A-9EA0ADC7B9E0}"/>
    <dgm:cxn modelId="{49E3D71C-8D9A-4C27-A070-F371CC4CE7A1}" srcId="{05B3ED5E-CB11-4A9E-90C0-B5013182E685}" destId="{8E85575A-A7EA-4271-8F3B-D0A7815B2B90}" srcOrd="1" destOrd="0" parTransId="{B7C724A2-B9D7-4191-9426-FB3095F6AE57}" sibTransId="{73BB5C51-6A55-458D-B61A-DFC4F9D3CCEF}"/>
    <dgm:cxn modelId="{C240C54E-214F-4070-B1B1-74795A7FBCBD}" type="presOf" srcId="{05B3ED5E-CB11-4A9E-90C0-B5013182E685}" destId="{F0600708-E487-4CC4-8B39-2B6AFDF43CFA}" srcOrd="1" destOrd="0" presId="urn:microsoft.com/office/officeart/2005/8/layout/hierarchy3"/>
    <dgm:cxn modelId="{3A988932-767F-4717-B398-A374D852405F}" srcId="{98D2F8D9-DE1E-4D61-A016-99E7E27D63D5}" destId="{0174113C-2CD6-4E5D-8B41-A41EBC9ADE54}" srcOrd="5" destOrd="0" parTransId="{2DA5C39C-95B9-4761-AD86-B6268B6695F3}" sibTransId="{463E9E8E-EB4C-40F2-8F6B-A8F315D6BA88}"/>
    <dgm:cxn modelId="{FC72AEA6-3A50-48ED-A093-91AF51C7E29A}" type="presOf" srcId="{8E85575A-A7EA-4271-8F3B-D0A7815B2B90}" destId="{A80B8FE4-9074-401A-9722-2A464E4F09BF}" srcOrd="0" destOrd="0" presId="urn:microsoft.com/office/officeart/2005/8/layout/hierarchy3"/>
    <dgm:cxn modelId="{5609D34D-814B-49AE-914E-DC09F290D584}" type="presOf" srcId="{E9E6D379-A03E-4FF1-B813-56610C24B965}" destId="{FB9B44EC-A0CC-448F-A9DD-84D0B7EEC3E0}" srcOrd="0" destOrd="0" presId="urn:microsoft.com/office/officeart/2005/8/layout/hierarchy3"/>
    <dgm:cxn modelId="{6EADD03A-3126-4098-A0D5-62FA798C7989}" srcId="{98D2F8D9-DE1E-4D61-A016-99E7E27D63D5}" destId="{9341A5A7-C897-4E26-A163-69BAA9AAD7BE}" srcOrd="6" destOrd="0" parTransId="{5A28B6E0-B4C9-4F1C-816A-6DC93882A426}" sibTransId="{27A5857C-73AB-4E6A-AF9F-EE6EE28871F8}"/>
    <dgm:cxn modelId="{86C5F6B0-2AF2-42CB-A844-9436C81C2AE6}" type="presOf" srcId="{BED12463-B488-4665-874D-E5F8E1F8AF41}" destId="{93572DE9-911C-4F7A-A752-B8E594FB2A8E}" srcOrd="0" destOrd="0" presId="urn:microsoft.com/office/officeart/2005/8/layout/hierarchy3"/>
    <dgm:cxn modelId="{8E2352D4-EC43-4CC6-82E8-C1235AB382AE}" srcId="{CBC9CC8F-F3FD-4483-B303-40A357EEDF90}" destId="{0D8143E2-1606-4412-AE20-73C039DFD1A2}" srcOrd="1" destOrd="0" parTransId="{54009020-087D-4BBE-A1AC-4D76596E9F55}" sibTransId="{38571B0A-9863-4DE6-B43C-E3EED0F456A2}"/>
    <dgm:cxn modelId="{D71698D5-DD81-4245-9C99-455E83603A11}" type="presOf" srcId="{74039833-BC26-44A9-A875-11DEAFDC68EC}" destId="{0719AB96-C587-40E4-96C6-425B6717176E}" srcOrd="0" destOrd="0" presId="urn:microsoft.com/office/officeart/2005/8/layout/hierarchy3"/>
    <dgm:cxn modelId="{EE1B8BD7-5AC1-4956-AEEC-183FAE0ADB17}" type="presOf" srcId="{2627FD01-050A-4749-8230-D58159619936}" destId="{BC5C2B50-A515-4271-86CC-934543556BB8}" srcOrd="0" destOrd="0" presId="urn:microsoft.com/office/officeart/2005/8/layout/hierarchy3"/>
    <dgm:cxn modelId="{73398DD1-68B2-4DFD-B79B-DEB52AF11310}" type="presOf" srcId="{0539338E-C4C7-4165-BCEF-EB11F591B821}" destId="{0BAA50E6-ACC0-47CD-81F8-A09A56262891}" srcOrd="0" destOrd="0" presId="urn:microsoft.com/office/officeart/2005/8/layout/hierarchy3"/>
    <dgm:cxn modelId="{6FCA60F9-CF75-44D2-B348-86B9880F1529}" type="presOf" srcId="{BDD7587E-087F-4680-853B-6D955BE42EC0}" destId="{D2CBF289-D46E-4FFE-B5B9-FE327EA08CA6}" srcOrd="0" destOrd="0" presId="urn:microsoft.com/office/officeart/2005/8/layout/hierarchy3"/>
    <dgm:cxn modelId="{62C91435-A5A6-4DF9-926C-C5D79651AA98}" type="presOf" srcId="{43AAF662-0881-4080-BF68-EB0D07B9CEE8}" destId="{19369309-BFBA-4D05-85AD-8888A2C46250}" srcOrd="1" destOrd="0" presId="urn:microsoft.com/office/officeart/2005/8/layout/hierarchy3"/>
    <dgm:cxn modelId="{A238C717-99A6-4507-BD05-A0C605696B6A}" srcId="{CBC9CC8F-F3FD-4483-B303-40A357EEDF90}" destId="{60B946F5-2256-4327-BEA2-A15489229C0D}" srcOrd="2" destOrd="0" parTransId="{5D144DC2-8AC2-44F5-849D-BD02DAEA6C1D}" sibTransId="{8EDACAFD-1ABD-4090-9A85-614E1FE8A025}"/>
    <dgm:cxn modelId="{5A3DA220-C900-4519-909E-2B8211F079A1}" type="presOf" srcId="{5A28B6E0-B4C9-4F1C-816A-6DC93882A426}" destId="{71790F47-8BBB-4437-ACC7-07CC4F9CC693}" srcOrd="0" destOrd="0" presId="urn:microsoft.com/office/officeart/2005/8/layout/hierarchy3"/>
    <dgm:cxn modelId="{9E783313-2084-4E31-B20A-459916A4612F}" type="presOf" srcId="{CBC9CC8F-F3FD-4483-B303-40A357EEDF90}" destId="{3748C041-EA41-4A93-9590-60CD98369923}" srcOrd="0" destOrd="0" presId="urn:microsoft.com/office/officeart/2005/8/layout/hierarchy3"/>
    <dgm:cxn modelId="{8E3B3CF6-CF60-4690-8A6E-D3A68DAF9330}" type="presOf" srcId="{2DA5C39C-95B9-4761-AD86-B6268B6695F3}" destId="{193DB6FE-C7A4-48C2-9371-E5FA934154E4}" srcOrd="0" destOrd="0" presId="urn:microsoft.com/office/officeart/2005/8/layout/hierarchy3"/>
    <dgm:cxn modelId="{7E9B28A4-C09D-4490-9490-6F196CC95341}" type="presOf" srcId="{12212259-6983-43BB-99CA-9F25F27BD62F}" destId="{03BBD201-772C-432D-AA22-C01BF022CC5F}" srcOrd="0" destOrd="0" presId="urn:microsoft.com/office/officeart/2005/8/layout/hierarchy3"/>
    <dgm:cxn modelId="{90B580E2-B570-4935-A362-C43EBA34B667}" type="presOf" srcId="{32D7FDE4-3362-4F5E-BF60-8515DCEA6643}" destId="{A6BEB5A0-BBB0-4931-A99E-72989EF37125}" srcOrd="0" destOrd="0" presId="urn:microsoft.com/office/officeart/2005/8/layout/hierarchy3"/>
    <dgm:cxn modelId="{192980BA-36B9-4763-9ACE-136CAA9181B0}" type="presOf" srcId="{EA26AAB0-F9E4-47B7-AF9E-4C2130283A88}" destId="{E4EFBA96-EED8-45D7-8EE5-6C29201CC0B4}" srcOrd="1" destOrd="0" presId="urn:microsoft.com/office/officeart/2005/8/layout/hierarchy3"/>
    <dgm:cxn modelId="{B5F8581D-4C91-47B9-A87E-11C518C4FABB}" type="presOf" srcId="{C02F77FD-7896-45B5-A189-C96B9D59A304}" destId="{5F5F1D27-4B8F-4E55-A231-34C14E68B699}" srcOrd="0" destOrd="0" presId="urn:microsoft.com/office/officeart/2005/8/layout/hierarchy3"/>
    <dgm:cxn modelId="{0B6C8DC8-6B19-4B82-8BFD-85A664472BA6}" type="presOf" srcId="{9341A5A7-C897-4E26-A163-69BAA9AAD7BE}" destId="{A440CBA6-314D-42CC-8572-4539632E7E16}" srcOrd="0" destOrd="0" presId="urn:microsoft.com/office/officeart/2005/8/layout/hierarchy3"/>
    <dgm:cxn modelId="{7105629F-5DBF-4C46-A0EE-D4B2401D8281}" type="presOf" srcId="{6B950E6A-9695-48E2-98E4-44C1D9811253}" destId="{E5D54414-4FDB-4CB6-AFC7-FCB1D75D488B}" srcOrd="0" destOrd="0" presId="urn:microsoft.com/office/officeart/2005/8/layout/hierarchy3"/>
    <dgm:cxn modelId="{561B6794-F2FD-492C-8011-5509E0DCB5AF}" type="presOf" srcId="{CBC9CC8F-F3FD-4483-B303-40A357EEDF90}" destId="{F7445905-4C9E-416D-A9B5-21F9105FA303}" srcOrd="1" destOrd="0" presId="urn:microsoft.com/office/officeart/2005/8/layout/hierarchy3"/>
    <dgm:cxn modelId="{C5456BEC-C95D-4C83-ABCB-66831E95699A}" type="presOf" srcId="{60B946F5-2256-4327-BEA2-A15489229C0D}" destId="{8CA4C032-3ACC-4BF1-AAD5-3A0B0306AFFD}" srcOrd="0" destOrd="0" presId="urn:microsoft.com/office/officeart/2005/8/layout/hierarchy3"/>
    <dgm:cxn modelId="{6CA23032-D252-4922-882A-FEC1E8343E93}" type="presOf" srcId="{464BCB16-4118-4DF0-B1A8-8E320BBDF076}" destId="{0001E38C-21FA-452F-BC86-20CF491C5686}" srcOrd="0" destOrd="0" presId="urn:microsoft.com/office/officeart/2005/8/layout/hierarchy3"/>
    <dgm:cxn modelId="{50750C86-D1AC-440A-B807-2DF72BA6467E}" type="presOf" srcId="{6489455F-80F6-434B-BB61-CEDDC327660D}" destId="{E994D454-E2E5-416E-BCE1-F94B82D7FB80}" srcOrd="0" destOrd="0" presId="urn:microsoft.com/office/officeart/2005/8/layout/hierarchy3"/>
    <dgm:cxn modelId="{954351E8-5B29-4C0C-955E-66426963D724}" type="presOf" srcId="{F34AC33D-2111-42D0-9F1C-C23ED2BC667D}" destId="{DC715828-62E8-4D99-8170-24EF4A285834}" srcOrd="0" destOrd="0" presId="urn:microsoft.com/office/officeart/2005/8/layout/hierarchy3"/>
    <dgm:cxn modelId="{E89AEF2C-6E1E-46C5-873B-E333EE961A75}" type="presOf" srcId="{358D01C8-27BE-4B12-AED0-6D41CA97BD41}" destId="{A498812E-53D7-4468-8579-1B9F8A4C4277}" srcOrd="0" destOrd="0" presId="urn:microsoft.com/office/officeart/2005/8/layout/hierarchy3"/>
    <dgm:cxn modelId="{9C3403B9-082E-4366-9F94-683107BCB03B}" srcId="{A72EB0F7-B6A9-44BB-A26D-1E0C06E9DA59}" destId="{98D2F8D9-DE1E-4D61-A016-99E7E27D63D5}" srcOrd="2" destOrd="0" parTransId="{75A551F5-C07D-4DC9-9EFD-924762AA292B}" sibTransId="{76EFADAC-011F-4A0E-A3B0-4B11AFACAEEA}"/>
    <dgm:cxn modelId="{B17CA01A-EB73-45C2-9CE2-FD6394727FB7}" type="presParOf" srcId="{030C49F4-E431-46AA-8B0A-B72FFACAC94A}" destId="{33B0C057-0E8D-43AE-B2CB-19517C845992}" srcOrd="0" destOrd="0" presId="urn:microsoft.com/office/officeart/2005/8/layout/hierarchy3"/>
    <dgm:cxn modelId="{1CD77817-4739-4414-9C21-61C0345E6D8B}" type="presParOf" srcId="{33B0C057-0E8D-43AE-B2CB-19517C845992}" destId="{33D5D277-C4AF-4055-A73D-935E8FF77F68}" srcOrd="0" destOrd="0" presId="urn:microsoft.com/office/officeart/2005/8/layout/hierarchy3"/>
    <dgm:cxn modelId="{B57AE4C4-B119-4603-97A0-16BCA5539654}" type="presParOf" srcId="{33D5D277-C4AF-4055-A73D-935E8FF77F68}" destId="{0BAA50E6-ACC0-47CD-81F8-A09A56262891}" srcOrd="0" destOrd="0" presId="urn:microsoft.com/office/officeart/2005/8/layout/hierarchy3"/>
    <dgm:cxn modelId="{8C830CBA-4D99-4AC2-BC88-E461ACF2A9D1}" type="presParOf" srcId="{33D5D277-C4AF-4055-A73D-935E8FF77F68}" destId="{173AFAA8-7C51-4DEB-90B5-F6D51304CD62}" srcOrd="1" destOrd="0" presId="urn:microsoft.com/office/officeart/2005/8/layout/hierarchy3"/>
    <dgm:cxn modelId="{5B5A885E-0435-4E0A-9980-1D3AABDB954E}" type="presParOf" srcId="{33B0C057-0E8D-43AE-B2CB-19517C845992}" destId="{2F30488A-48BB-454C-8EFB-508B9AD23335}" srcOrd="1" destOrd="0" presId="urn:microsoft.com/office/officeart/2005/8/layout/hierarchy3"/>
    <dgm:cxn modelId="{621D444A-D24B-4855-AF85-BF9EDD040E12}" type="presParOf" srcId="{2F30488A-48BB-454C-8EFB-508B9AD23335}" destId="{B876B7DC-2D3A-4A93-9130-0D631468768B}" srcOrd="0" destOrd="0" presId="urn:microsoft.com/office/officeart/2005/8/layout/hierarchy3"/>
    <dgm:cxn modelId="{4D275828-7015-4005-AF2F-EBCE479D19CB}" type="presParOf" srcId="{2F30488A-48BB-454C-8EFB-508B9AD23335}" destId="{97A239C6-68EA-4538-BF7F-01532DE4A656}" srcOrd="1" destOrd="0" presId="urn:microsoft.com/office/officeart/2005/8/layout/hierarchy3"/>
    <dgm:cxn modelId="{7B34D709-2E79-4A79-8773-AE3AD23FDA50}" type="presParOf" srcId="{030C49F4-E431-46AA-8B0A-B72FFACAC94A}" destId="{1238CA92-4012-415B-8F41-BE0F3DF70AFA}" srcOrd="1" destOrd="0" presId="urn:microsoft.com/office/officeart/2005/8/layout/hierarchy3"/>
    <dgm:cxn modelId="{B5BB9562-21B1-4B4B-B4CD-096520A54E74}" type="presParOf" srcId="{1238CA92-4012-415B-8F41-BE0F3DF70AFA}" destId="{0AC931DC-31B8-4EA9-A6F6-097AF64C132C}" srcOrd="0" destOrd="0" presId="urn:microsoft.com/office/officeart/2005/8/layout/hierarchy3"/>
    <dgm:cxn modelId="{1AC9B546-ED38-428B-81B7-2E81928DCFF8}" type="presParOf" srcId="{0AC931DC-31B8-4EA9-A6F6-097AF64C132C}" destId="{93DCCB92-ADB5-4910-AC56-2CBCE7DAF12C}" srcOrd="0" destOrd="0" presId="urn:microsoft.com/office/officeart/2005/8/layout/hierarchy3"/>
    <dgm:cxn modelId="{1F11920E-3248-49E4-AA03-3F19A7D333DD}" type="presParOf" srcId="{0AC931DC-31B8-4EA9-A6F6-097AF64C132C}" destId="{F0600708-E487-4CC4-8B39-2B6AFDF43CFA}" srcOrd="1" destOrd="0" presId="urn:microsoft.com/office/officeart/2005/8/layout/hierarchy3"/>
    <dgm:cxn modelId="{8766BB13-F2A2-4867-B55C-71FB23F2379D}" type="presParOf" srcId="{1238CA92-4012-415B-8F41-BE0F3DF70AFA}" destId="{ACF2C8C2-792E-480D-A547-91BB27F4052C}" srcOrd="1" destOrd="0" presId="urn:microsoft.com/office/officeart/2005/8/layout/hierarchy3"/>
    <dgm:cxn modelId="{C99F146C-8818-4DDB-9797-B0902C86FEF9}" type="presParOf" srcId="{ACF2C8C2-792E-480D-A547-91BB27F4052C}" destId="{6BB92361-E599-4E7F-97AA-7A5B74C9BEE2}" srcOrd="0" destOrd="0" presId="urn:microsoft.com/office/officeart/2005/8/layout/hierarchy3"/>
    <dgm:cxn modelId="{7C7CA7CB-40A3-41A9-BF4E-8FFEF4E09F02}" type="presParOf" srcId="{ACF2C8C2-792E-480D-A547-91BB27F4052C}" destId="{1C3C0FAB-22E4-4F5D-BA18-CC6D0E8FF971}" srcOrd="1" destOrd="0" presId="urn:microsoft.com/office/officeart/2005/8/layout/hierarchy3"/>
    <dgm:cxn modelId="{AFC375FA-3B66-43CA-9C41-BE2F3D1198AF}" type="presParOf" srcId="{ACF2C8C2-792E-480D-A547-91BB27F4052C}" destId="{CD86FFCB-C23D-4D93-BBB3-BCFACBB55F29}" srcOrd="2" destOrd="0" presId="urn:microsoft.com/office/officeart/2005/8/layout/hierarchy3"/>
    <dgm:cxn modelId="{8A36CF13-1EA0-4A5B-BC3D-A365A4529D03}" type="presParOf" srcId="{ACF2C8C2-792E-480D-A547-91BB27F4052C}" destId="{A80B8FE4-9074-401A-9722-2A464E4F09BF}" srcOrd="3" destOrd="0" presId="urn:microsoft.com/office/officeart/2005/8/layout/hierarchy3"/>
    <dgm:cxn modelId="{DC80F049-ECB5-4C13-89B0-45D58847F3AF}" type="presParOf" srcId="{030C49F4-E431-46AA-8B0A-B72FFACAC94A}" destId="{503AEBDF-462E-40A6-B796-C4CC435DB2FF}" srcOrd="2" destOrd="0" presId="urn:microsoft.com/office/officeart/2005/8/layout/hierarchy3"/>
    <dgm:cxn modelId="{06D612F8-304E-4C9C-9C26-7B3217B5590E}" type="presParOf" srcId="{503AEBDF-462E-40A6-B796-C4CC435DB2FF}" destId="{D036EBAB-ED52-4BE0-ABE9-289EB3D76AFE}" srcOrd="0" destOrd="0" presId="urn:microsoft.com/office/officeart/2005/8/layout/hierarchy3"/>
    <dgm:cxn modelId="{36C2E02A-BE98-4B34-92F5-512D6B14E3F7}" type="presParOf" srcId="{D036EBAB-ED52-4BE0-ABE9-289EB3D76AFE}" destId="{379B2BAF-1A9C-454F-A58C-005796314938}" srcOrd="0" destOrd="0" presId="urn:microsoft.com/office/officeart/2005/8/layout/hierarchy3"/>
    <dgm:cxn modelId="{232615EC-D417-4BEC-A923-B06E45270142}" type="presParOf" srcId="{D036EBAB-ED52-4BE0-ABE9-289EB3D76AFE}" destId="{53049F50-0DF0-4636-A7E2-778BDEEB36F9}" srcOrd="1" destOrd="0" presId="urn:microsoft.com/office/officeart/2005/8/layout/hierarchy3"/>
    <dgm:cxn modelId="{7CB44023-E0EE-4BB5-A426-62D901843871}" type="presParOf" srcId="{503AEBDF-462E-40A6-B796-C4CC435DB2FF}" destId="{AC72AE9E-58A3-4744-A8EE-EBC70E14C716}" srcOrd="1" destOrd="0" presId="urn:microsoft.com/office/officeart/2005/8/layout/hierarchy3"/>
    <dgm:cxn modelId="{80495770-02C9-489B-A2D9-B48C6428FC81}" type="presParOf" srcId="{AC72AE9E-58A3-4744-A8EE-EBC70E14C716}" destId="{BC5C2B50-A515-4271-86CC-934543556BB8}" srcOrd="0" destOrd="0" presId="urn:microsoft.com/office/officeart/2005/8/layout/hierarchy3"/>
    <dgm:cxn modelId="{9F353D30-695D-4024-A6EB-709BB0BDBE6D}" type="presParOf" srcId="{AC72AE9E-58A3-4744-A8EE-EBC70E14C716}" destId="{9A921049-91B8-4A3A-AA14-259FDCF1D0E5}" srcOrd="1" destOrd="0" presId="urn:microsoft.com/office/officeart/2005/8/layout/hierarchy3"/>
    <dgm:cxn modelId="{FF7F8EBD-6BAB-41A1-ACB1-BA5D81DC3AD2}" type="presParOf" srcId="{AC72AE9E-58A3-4744-A8EE-EBC70E14C716}" destId="{D5918253-6C55-480F-AE36-0F356D5C42E1}" srcOrd="2" destOrd="0" presId="urn:microsoft.com/office/officeart/2005/8/layout/hierarchy3"/>
    <dgm:cxn modelId="{F80DC4B9-246C-402A-905A-2460B9A42B71}" type="presParOf" srcId="{AC72AE9E-58A3-4744-A8EE-EBC70E14C716}" destId="{03BBD201-772C-432D-AA22-C01BF022CC5F}" srcOrd="3" destOrd="0" presId="urn:microsoft.com/office/officeart/2005/8/layout/hierarchy3"/>
    <dgm:cxn modelId="{3E98E1D6-DD8D-4F73-9C0B-5B021FB59A3D}" type="presParOf" srcId="{AC72AE9E-58A3-4744-A8EE-EBC70E14C716}" destId="{5F5F1D27-4B8F-4E55-A231-34C14E68B699}" srcOrd="4" destOrd="0" presId="urn:microsoft.com/office/officeart/2005/8/layout/hierarchy3"/>
    <dgm:cxn modelId="{D6742F86-FA80-4427-9BD5-B4A30C8B356F}" type="presParOf" srcId="{AC72AE9E-58A3-4744-A8EE-EBC70E14C716}" destId="{C323E7D8-E65B-4125-9E9A-D9D098B1AEBF}" srcOrd="5" destOrd="0" presId="urn:microsoft.com/office/officeart/2005/8/layout/hierarchy3"/>
    <dgm:cxn modelId="{66D23BF1-E862-464A-9A1C-2F66B1F6C818}" type="presParOf" srcId="{AC72AE9E-58A3-4744-A8EE-EBC70E14C716}" destId="{056361F3-EE27-45B1-A357-66131BCBD545}" srcOrd="6" destOrd="0" presId="urn:microsoft.com/office/officeart/2005/8/layout/hierarchy3"/>
    <dgm:cxn modelId="{60163482-6452-48CA-AB99-498D9FACD39E}" type="presParOf" srcId="{AC72AE9E-58A3-4744-A8EE-EBC70E14C716}" destId="{58820251-D2F3-4B46-8702-81EF762CE16F}" srcOrd="7" destOrd="0" presId="urn:microsoft.com/office/officeart/2005/8/layout/hierarchy3"/>
    <dgm:cxn modelId="{BBD613BA-8D28-4EF0-89F4-280668D67807}" type="presParOf" srcId="{AC72AE9E-58A3-4744-A8EE-EBC70E14C716}" destId="{A498812E-53D7-4468-8579-1B9F8A4C4277}" srcOrd="8" destOrd="0" presId="urn:microsoft.com/office/officeart/2005/8/layout/hierarchy3"/>
    <dgm:cxn modelId="{13D53CEB-38B7-4FA9-AD6E-55CA126B1259}" type="presParOf" srcId="{AC72AE9E-58A3-4744-A8EE-EBC70E14C716}" destId="{93572DE9-911C-4F7A-A752-B8E594FB2A8E}" srcOrd="9" destOrd="0" presId="urn:microsoft.com/office/officeart/2005/8/layout/hierarchy3"/>
    <dgm:cxn modelId="{20EE0F90-35FC-4CC0-BE1F-A0BF371E3A86}" type="presParOf" srcId="{AC72AE9E-58A3-4744-A8EE-EBC70E14C716}" destId="{193DB6FE-C7A4-48C2-9371-E5FA934154E4}" srcOrd="10" destOrd="0" presId="urn:microsoft.com/office/officeart/2005/8/layout/hierarchy3"/>
    <dgm:cxn modelId="{B6759AE6-25F5-4474-99E7-576AA3A950D1}" type="presParOf" srcId="{AC72AE9E-58A3-4744-A8EE-EBC70E14C716}" destId="{3EBB106F-BE1B-4D79-BA1B-AE8DE69A0EB3}" srcOrd="11" destOrd="0" presId="urn:microsoft.com/office/officeart/2005/8/layout/hierarchy3"/>
    <dgm:cxn modelId="{960AF14F-7565-4519-B859-608641EBAB20}" type="presParOf" srcId="{AC72AE9E-58A3-4744-A8EE-EBC70E14C716}" destId="{71790F47-8BBB-4437-ACC7-07CC4F9CC693}" srcOrd="12" destOrd="0" presId="urn:microsoft.com/office/officeart/2005/8/layout/hierarchy3"/>
    <dgm:cxn modelId="{C0E6B4AB-A83E-429E-8478-D385FF6E52F0}" type="presParOf" srcId="{AC72AE9E-58A3-4744-A8EE-EBC70E14C716}" destId="{A440CBA6-314D-42CC-8572-4539632E7E16}" srcOrd="13" destOrd="0" presId="urn:microsoft.com/office/officeart/2005/8/layout/hierarchy3"/>
    <dgm:cxn modelId="{16435144-F350-49F5-86AD-FECB53F812D2}" type="presParOf" srcId="{AC72AE9E-58A3-4744-A8EE-EBC70E14C716}" destId="{A6BEB5A0-BBB0-4931-A99E-72989EF37125}" srcOrd="14" destOrd="0" presId="urn:microsoft.com/office/officeart/2005/8/layout/hierarchy3"/>
    <dgm:cxn modelId="{64957B0A-17EE-48A9-AB30-A6A1996E9CFA}" type="presParOf" srcId="{AC72AE9E-58A3-4744-A8EE-EBC70E14C716}" destId="{995D6044-5834-4031-9DCE-63EC79ABEDB4}" srcOrd="15" destOrd="0" presId="urn:microsoft.com/office/officeart/2005/8/layout/hierarchy3"/>
    <dgm:cxn modelId="{54E06116-29CD-40C0-840C-9EF20909C587}" type="presParOf" srcId="{030C49F4-E431-46AA-8B0A-B72FFACAC94A}" destId="{4D08562D-0689-437D-B7B4-44C03C8D180D}" srcOrd="3" destOrd="0" presId="urn:microsoft.com/office/officeart/2005/8/layout/hierarchy3"/>
    <dgm:cxn modelId="{2A3C9D43-E8A3-46E8-BCD8-421A59CAFDF5}" type="presParOf" srcId="{4D08562D-0689-437D-B7B4-44C03C8D180D}" destId="{1405161D-BB80-4EEC-B6BE-08500039DA4F}" srcOrd="0" destOrd="0" presId="urn:microsoft.com/office/officeart/2005/8/layout/hierarchy3"/>
    <dgm:cxn modelId="{3DEF225F-7798-4F9B-9194-24A7399D073A}" type="presParOf" srcId="{1405161D-BB80-4EEC-B6BE-08500039DA4F}" destId="{3748C041-EA41-4A93-9590-60CD98369923}" srcOrd="0" destOrd="0" presId="urn:microsoft.com/office/officeart/2005/8/layout/hierarchy3"/>
    <dgm:cxn modelId="{F7D2B2FC-2008-445D-B74C-C1E6690C6D61}" type="presParOf" srcId="{1405161D-BB80-4EEC-B6BE-08500039DA4F}" destId="{F7445905-4C9E-416D-A9B5-21F9105FA303}" srcOrd="1" destOrd="0" presId="urn:microsoft.com/office/officeart/2005/8/layout/hierarchy3"/>
    <dgm:cxn modelId="{1C7A95E8-E3D8-4262-B66E-D2D2528EE4CF}" type="presParOf" srcId="{4D08562D-0689-437D-B7B4-44C03C8D180D}" destId="{75D0C315-2418-40E9-8DFB-61ED39E8F541}" srcOrd="1" destOrd="0" presId="urn:microsoft.com/office/officeart/2005/8/layout/hierarchy3"/>
    <dgm:cxn modelId="{C45AF24C-D6E0-410B-B189-8929751892C0}" type="presParOf" srcId="{75D0C315-2418-40E9-8DFB-61ED39E8F541}" destId="{D1FB1172-AFA9-446A-A26D-3A03E280D53B}" srcOrd="0" destOrd="0" presId="urn:microsoft.com/office/officeart/2005/8/layout/hierarchy3"/>
    <dgm:cxn modelId="{85C45B46-6DBB-4AAF-8152-53EC17216A0D}" type="presParOf" srcId="{75D0C315-2418-40E9-8DFB-61ED39E8F541}" destId="{E994D454-E2E5-416E-BCE1-F94B82D7FB80}" srcOrd="1" destOrd="0" presId="urn:microsoft.com/office/officeart/2005/8/layout/hierarchy3"/>
    <dgm:cxn modelId="{FE5CF095-A943-42DC-A660-0F604FFEBB73}" type="presParOf" srcId="{75D0C315-2418-40E9-8DFB-61ED39E8F541}" destId="{5703D6EB-EDB9-40A5-8423-0CDB042230AB}" srcOrd="2" destOrd="0" presId="urn:microsoft.com/office/officeart/2005/8/layout/hierarchy3"/>
    <dgm:cxn modelId="{DFE5D86D-7C89-4519-86B4-355B9D222185}" type="presParOf" srcId="{75D0C315-2418-40E9-8DFB-61ED39E8F541}" destId="{C7B8D8BC-1899-4B62-81C0-8ED25A408F28}" srcOrd="3" destOrd="0" presId="urn:microsoft.com/office/officeart/2005/8/layout/hierarchy3"/>
    <dgm:cxn modelId="{ACA2106D-96FB-403A-87B3-492E8D7DFE90}" type="presParOf" srcId="{75D0C315-2418-40E9-8DFB-61ED39E8F541}" destId="{59197E39-A95B-42F7-91A7-26558F9BFE88}" srcOrd="4" destOrd="0" presId="urn:microsoft.com/office/officeart/2005/8/layout/hierarchy3"/>
    <dgm:cxn modelId="{5BF3B2FD-8C62-4E3E-88F7-1DED8C19A64A}" type="presParOf" srcId="{75D0C315-2418-40E9-8DFB-61ED39E8F541}" destId="{8CA4C032-3ACC-4BF1-AAD5-3A0B0306AFFD}" srcOrd="5" destOrd="0" presId="urn:microsoft.com/office/officeart/2005/8/layout/hierarchy3"/>
    <dgm:cxn modelId="{7DBFF0A2-1C43-40E7-A71A-5C1D7D0670AE}" type="presParOf" srcId="{75D0C315-2418-40E9-8DFB-61ED39E8F541}" destId="{4848613D-6C6C-428D-9A07-C546169E034D}" srcOrd="6" destOrd="0" presId="urn:microsoft.com/office/officeart/2005/8/layout/hierarchy3"/>
    <dgm:cxn modelId="{4506F7DF-23D4-4D28-951A-68F8BE156680}" type="presParOf" srcId="{75D0C315-2418-40E9-8DFB-61ED39E8F541}" destId="{DC715828-62E8-4D99-8170-24EF4A285834}" srcOrd="7" destOrd="0" presId="urn:microsoft.com/office/officeart/2005/8/layout/hierarchy3"/>
    <dgm:cxn modelId="{B407AA6E-BF8B-4454-955A-89AE5DEE2E6E}" type="presParOf" srcId="{030C49F4-E431-46AA-8B0A-B72FFACAC94A}" destId="{7172DB0A-576E-4297-8918-C09A2969D0DA}" srcOrd="4" destOrd="0" presId="urn:microsoft.com/office/officeart/2005/8/layout/hierarchy3"/>
    <dgm:cxn modelId="{9CA8CB26-3AFC-4985-B0B0-62B662EB99CB}" type="presParOf" srcId="{7172DB0A-576E-4297-8918-C09A2969D0DA}" destId="{1D79D40B-F92E-4CFB-84CC-90DD2027070A}" srcOrd="0" destOrd="0" presId="urn:microsoft.com/office/officeart/2005/8/layout/hierarchy3"/>
    <dgm:cxn modelId="{10425B7A-992B-4EC9-AB20-A6D2E5E9D82A}" type="presParOf" srcId="{1D79D40B-F92E-4CFB-84CC-90DD2027070A}" destId="{2DECE9C8-B83A-48AE-889B-E929BFC27E50}" srcOrd="0" destOrd="0" presId="urn:microsoft.com/office/officeart/2005/8/layout/hierarchy3"/>
    <dgm:cxn modelId="{703CDF15-5885-4DE1-9922-9B160DDB0EFD}" type="presParOf" srcId="{1D79D40B-F92E-4CFB-84CC-90DD2027070A}" destId="{19369309-BFBA-4D05-85AD-8888A2C46250}" srcOrd="1" destOrd="0" presId="urn:microsoft.com/office/officeart/2005/8/layout/hierarchy3"/>
    <dgm:cxn modelId="{0E3F65C5-EB5B-4782-9A19-1115D1969B0A}" type="presParOf" srcId="{7172DB0A-576E-4297-8918-C09A2969D0DA}" destId="{188C7C49-CE37-4B15-BCBC-5EA812931359}" srcOrd="1" destOrd="0" presId="urn:microsoft.com/office/officeart/2005/8/layout/hierarchy3"/>
    <dgm:cxn modelId="{4C367492-FC1F-47F0-996C-8948352F76AE}" type="presParOf" srcId="{188C7C49-CE37-4B15-BCBC-5EA812931359}" destId="{0719AB96-C587-40E4-96C6-425B6717176E}" srcOrd="0" destOrd="0" presId="urn:microsoft.com/office/officeart/2005/8/layout/hierarchy3"/>
    <dgm:cxn modelId="{1D7341FB-CF72-40B3-B2D2-06232F39B49F}" type="presParOf" srcId="{188C7C49-CE37-4B15-BCBC-5EA812931359}" destId="{1D577D15-503F-4A0D-9C16-A39AD9CC1DD7}" srcOrd="1" destOrd="0" presId="urn:microsoft.com/office/officeart/2005/8/layout/hierarchy3"/>
    <dgm:cxn modelId="{8E515293-C962-417B-8994-2B911564B6FF}" type="presParOf" srcId="{188C7C49-CE37-4B15-BCBC-5EA812931359}" destId="{0001E38C-21FA-452F-BC86-20CF491C5686}" srcOrd="2" destOrd="0" presId="urn:microsoft.com/office/officeart/2005/8/layout/hierarchy3"/>
    <dgm:cxn modelId="{6BEBD89D-1A65-4C95-A1B8-28006015032E}" type="presParOf" srcId="{188C7C49-CE37-4B15-BCBC-5EA812931359}" destId="{61638565-CC78-4C95-8C11-00065DEF7B1F}" srcOrd="3" destOrd="0" presId="urn:microsoft.com/office/officeart/2005/8/layout/hierarchy3"/>
    <dgm:cxn modelId="{5585D0C9-06C5-4374-9C56-45A6FE59FD07}" type="presParOf" srcId="{030C49F4-E431-46AA-8B0A-B72FFACAC94A}" destId="{D690AF62-7F7A-4879-BD2B-1AF000A85EB8}" srcOrd="5" destOrd="0" presId="urn:microsoft.com/office/officeart/2005/8/layout/hierarchy3"/>
    <dgm:cxn modelId="{5E60D80F-5088-428B-9B08-29B931F9FE6A}" type="presParOf" srcId="{D690AF62-7F7A-4879-BD2B-1AF000A85EB8}" destId="{545A4D26-63D3-4F30-B082-0E8B75D652BC}" srcOrd="0" destOrd="0" presId="urn:microsoft.com/office/officeart/2005/8/layout/hierarchy3"/>
    <dgm:cxn modelId="{D2ACA61F-AAF2-4D6F-9685-00C27A705030}" type="presParOf" srcId="{545A4D26-63D3-4F30-B082-0E8B75D652BC}" destId="{5A7E18E1-69C0-4021-9B6A-505B409006FA}" srcOrd="0" destOrd="0" presId="urn:microsoft.com/office/officeart/2005/8/layout/hierarchy3"/>
    <dgm:cxn modelId="{40279BFA-FA24-4790-B62F-872C521F71A3}" type="presParOf" srcId="{545A4D26-63D3-4F30-B082-0E8B75D652BC}" destId="{ED20D0AC-A1DA-4AFA-B3ED-912D72A30C6E}" srcOrd="1" destOrd="0" presId="urn:microsoft.com/office/officeart/2005/8/layout/hierarchy3"/>
    <dgm:cxn modelId="{D6F013A6-B1BA-4A90-8751-0885BA1DD754}" type="presParOf" srcId="{D690AF62-7F7A-4879-BD2B-1AF000A85EB8}" destId="{6C04CC75-B54C-45C4-82F1-C2567A185033}" srcOrd="1" destOrd="0" presId="urn:microsoft.com/office/officeart/2005/8/layout/hierarchy3"/>
    <dgm:cxn modelId="{C9CB91EF-E0DF-4BA3-999C-A82AD9A52D6A}" type="presParOf" srcId="{6C04CC75-B54C-45C4-82F1-C2567A185033}" destId="{5CD106C4-E62E-4DC0-835F-5CC799E97700}" srcOrd="0" destOrd="0" presId="urn:microsoft.com/office/officeart/2005/8/layout/hierarchy3"/>
    <dgm:cxn modelId="{9E8DDAB1-5D15-414B-99C5-1B082DCD7476}" type="presParOf" srcId="{6C04CC75-B54C-45C4-82F1-C2567A185033}" destId="{FB9B44EC-A0CC-448F-A9DD-84D0B7EEC3E0}" srcOrd="1" destOrd="0" presId="urn:microsoft.com/office/officeart/2005/8/layout/hierarchy3"/>
    <dgm:cxn modelId="{FC2118BC-78D7-4FB0-8D91-DABF7BFABC91}" type="presParOf" srcId="{6C04CC75-B54C-45C4-82F1-C2567A185033}" destId="{E5D54414-4FDB-4CB6-AFC7-FCB1D75D488B}" srcOrd="2" destOrd="0" presId="urn:microsoft.com/office/officeart/2005/8/layout/hierarchy3"/>
    <dgm:cxn modelId="{0C028F82-25CD-44A2-8EE4-DFC5620C3C6A}" type="presParOf" srcId="{6C04CC75-B54C-45C4-82F1-C2567A185033}" destId="{8491EB98-4E3A-4DB3-BAA5-3DBF92E37C10}" srcOrd="3" destOrd="0" presId="urn:microsoft.com/office/officeart/2005/8/layout/hierarchy3"/>
    <dgm:cxn modelId="{6BDC2CBF-1A6E-4012-97A9-F56F989B6259}" type="presParOf" srcId="{6C04CC75-B54C-45C4-82F1-C2567A185033}" destId="{FE7ACDCD-68BF-432F-86D2-217C490C0C93}" srcOrd="4" destOrd="0" presId="urn:microsoft.com/office/officeart/2005/8/layout/hierarchy3"/>
    <dgm:cxn modelId="{786758CA-F9F0-4B4E-BA66-8B0FE797CFBA}" type="presParOf" srcId="{6C04CC75-B54C-45C4-82F1-C2567A185033}" destId="{D202B7D0-8780-4326-8038-E6940780A628}" srcOrd="5" destOrd="0" presId="urn:microsoft.com/office/officeart/2005/8/layout/hierarchy3"/>
    <dgm:cxn modelId="{7D9A2C57-B2E8-457A-8D60-43EC3B6C9D49}" type="presParOf" srcId="{6C04CC75-B54C-45C4-82F1-C2567A185033}" destId="{221E8990-7029-4A2D-8D7F-C0C7536E5079}" srcOrd="6" destOrd="0" presId="urn:microsoft.com/office/officeart/2005/8/layout/hierarchy3"/>
    <dgm:cxn modelId="{2824D352-22F6-4A8D-8797-15C081C5FDA2}" type="presParOf" srcId="{6C04CC75-B54C-45C4-82F1-C2567A185033}" destId="{D2CBF289-D46E-4FFE-B5B9-FE327EA08CA6}" srcOrd="7" destOrd="0" presId="urn:microsoft.com/office/officeart/2005/8/layout/hierarchy3"/>
    <dgm:cxn modelId="{EAA0B09C-B710-4BBE-999E-A80494F6E9FF}" type="presParOf" srcId="{030C49F4-E431-46AA-8B0A-B72FFACAC94A}" destId="{20E0682B-E811-4D24-ACD1-DD7CC2612F8E}" srcOrd="6" destOrd="0" presId="urn:microsoft.com/office/officeart/2005/8/layout/hierarchy3"/>
    <dgm:cxn modelId="{23C34494-6ABE-4769-B788-0325371FE1A5}" type="presParOf" srcId="{20E0682B-E811-4D24-ACD1-DD7CC2612F8E}" destId="{32F3A974-BD32-4951-BE5B-6C26ABF08B94}" srcOrd="0" destOrd="0" presId="urn:microsoft.com/office/officeart/2005/8/layout/hierarchy3"/>
    <dgm:cxn modelId="{6A002FBE-D2D6-4BD2-9B52-06537657FEB1}" type="presParOf" srcId="{32F3A974-BD32-4951-BE5B-6C26ABF08B94}" destId="{56A1F6A0-D56E-4B94-B808-88E68B8E8F8E}" srcOrd="0" destOrd="0" presId="urn:microsoft.com/office/officeart/2005/8/layout/hierarchy3"/>
    <dgm:cxn modelId="{67C597A4-EDBF-47BD-B12B-01E4E0170A02}" type="presParOf" srcId="{32F3A974-BD32-4951-BE5B-6C26ABF08B94}" destId="{E4EFBA96-EED8-45D7-8EE5-6C29201CC0B4}" srcOrd="1" destOrd="0" presId="urn:microsoft.com/office/officeart/2005/8/layout/hierarchy3"/>
    <dgm:cxn modelId="{2871A787-9F33-4380-978B-4B4E33B70FDA}" type="presParOf" srcId="{20E0682B-E811-4D24-ACD1-DD7CC2612F8E}" destId="{5F7B9DAD-C1E9-4603-BB0B-B9024B67B869}" srcOrd="1" destOrd="0" presId="urn:microsoft.com/office/officeart/2005/8/layout/hierarchy3"/>
    <dgm:cxn modelId="{C25B6AF8-14CA-4111-B7AD-D504D4490AB4}" type="presParOf" srcId="{5F7B9DAD-C1E9-4603-BB0B-B9024B67B869}" destId="{138C18B5-66CF-41EB-A54E-B25E277E409B}" srcOrd="0" destOrd="0" presId="urn:microsoft.com/office/officeart/2005/8/layout/hierarchy3"/>
    <dgm:cxn modelId="{9FF15B0C-0662-4019-AE38-D08F1679FC3E}" type="presParOf" srcId="{5F7B9DAD-C1E9-4603-BB0B-B9024B67B869}" destId="{0BBBD97B-D943-4276-AAE7-E2D905D1B2CC}" srcOrd="1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E132558C-8268-4AD9-A511-4ADB8381629A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136AD511-270B-443E-9642-097F0FB47CC3}">
      <dgm:prSet/>
      <dgm:spPr/>
      <dgm:t>
        <a:bodyPr/>
        <a:lstStyle/>
        <a:p>
          <a:r>
            <a:rPr lang="en-US"/>
            <a:t>Lead		</a:t>
          </a:r>
        </a:p>
      </dgm:t>
    </dgm:pt>
    <dgm:pt modelId="{DD61555D-22C6-4103-8EB1-92C56776F13C}" type="parTrans" cxnId="{57A7915E-FA6C-43D2-9DB0-9014656F66C5}">
      <dgm:prSet/>
      <dgm:spPr/>
      <dgm:t>
        <a:bodyPr/>
        <a:lstStyle/>
        <a:p>
          <a:endParaRPr lang="en-US"/>
        </a:p>
      </dgm:t>
    </dgm:pt>
    <dgm:pt modelId="{4FB00A71-D39A-4C1D-AAF9-F5A804223844}" type="sibTrans" cxnId="{57A7915E-FA6C-43D2-9DB0-9014656F66C5}">
      <dgm:prSet/>
      <dgm:spPr/>
      <dgm:t>
        <a:bodyPr/>
        <a:lstStyle/>
        <a:p>
          <a:endParaRPr lang="en-US"/>
        </a:p>
      </dgm:t>
    </dgm:pt>
    <dgm:pt modelId="{6C652C29-457E-4552-8467-9F4581559671}">
      <dgm:prSet/>
      <dgm:spPr>
        <a:ln w="31750" cmpd="dbl"/>
      </dgm:spPr>
      <dgm:t>
        <a:bodyPr/>
        <a:lstStyle/>
        <a:p>
          <a:r>
            <a:rPr lang="en-US"/>
            <a:t>Lin, Wayzen    Senior Director, Engineering</a:t>
          </a:r>
        </a:p>
      </dgm:t>
    </dgm:pt>
    <dgm:pt modelId="{BF2C9F70-441B-4158-B66A-7F596CFEF726}" type="parTrans" cxnId="{F526081A-3EAD-4CE6-AC7B-1A77017EA3EA}">
      <dgm:prSet/>
      <dgm:spPr/>
      <dgm:t>
        <a:bodyPr/>
        <a:lstStyle/>
        <a:p>
          <a:endParaRPr lang="en-US"/>
        </a:p>
      </dgm:t>
    </dgm:pt>
    <dgm:pt modelId="{00D75EB8-BC79-4F7B-9D86-FBA64BED9522}" type="sibTrans" cxnId="{F526081A-3EAD-4CE6-AC7B-1A77017EA3EA}">
      <dgm:prSet/>
      <dgm:spPr/>
      <dgm:t>
        <a:bodyPr/>
        <a:lstStyle/>
        <a:p>
          <a:endParaRPr lang="en-US"/>
        </a:p>
      </dgm:t>
    </dgm:pt>
    <dgm:pt modelId="{545FB255-F01D-44ED-B93B-A58E2BAA349C}">
      <dgm:prSet/>
      <dgm:spPr/>
      <dgm:t>
        <a:bodyPr/>
        <a:lstStyle/>
        <a:p>
          <a:r>
            <a:rPr lang="en-US"/>
            <a:t>Tech		</a:t>
          </a:r>
        </a:p>
      </dgm:t>
    </dgm:pt>
    <dgm:pt modelId="{30B31878-3A07-4059-9191-0ADA3BFE075D}" type="parTrans" cxnId="{17D9D86D-EA63-439F-9861-8D5BE9661EAB}">
      <dgm:prSet/>
      <dgm:spPr/>
      <dgm:t>
        <a:bodyPr/>
        <a:lstStyle/>
        <a:p>
          <a:endParaRPr lang="en-US"/>
        </a:p>
      </dgm:t>
    </dgm:pt>
    <dgm:pt modelId="{3888FB28-6187-497C-B9C7-B252F74CF96C}" type="sibTrans" cxnId="{17D9D86D-EA63-439F-9861-8D5BE9661EAB}">
      <dgm:prSet/>
      <dgm:spPr/>
      <dgm:t>
        <a:bodyPr/>
        <a:lstStyle/>
        <a:p>
          <a:endParaRPr lang="en-US"/>
        </a:p>
      </dgm:t>
    </dgm:pt>
    <dgm:pt modelId="{53A8AA37-525D-4B94-9A85-EA0851385C37}">
      <dgm:prSet/>
      <dgm:spPr/>
      <dgm:t>
        <a:bodyPr/>
        <a:lstStyle/>
        <a:p>
          <a:r>
            <a:rPr lang="en-US"/>
            <a:t>Simons, Thorsten    Master, SW Engineer</a:t>
          </a:r>
        </a:p>
      </dgm:t>
    </dgm:pt>
    <dgm:pt modelId="{4B95BE42-1C61-4635-B378-3BA15DE0FD0F}" type="parTrans" cxnId="{B80ADF63-5EBD-4FBE-8940-BF9E16D8F4DA}">
      <dgm:prSet/>
      <dgm:spPr/>
      <dgm:t>
        <a:bodyPr/>
        <a:lstStyle/>
        <a:p>
          <a:endParaRPr lang="en-US"/>
        </a:p>
      </dgm:t>
    </dgm:pt>
    <dgm:pt modelId="{ADB87D9D-A1F8-438D-9A14-FEC92577482A}" type="sibTrans" cxnId="{B80ADF63-5EBD-4FBE-8940-BF9E16D8F4DA}">
      <dgm:prSet/>
      <dgm:spPr/>
      <dgm:t>
        <a:bodyPr/>
        <a:lstStyle/>
        <a:p>
          <a:endParaRPr lang="en-US"/>
        </a:p>
      </dgm:t>
    </dgm:pt>
    <dgm:pt modelId="{87D872D7-00E9-420E-A3C7-2D3B65B5ACC6}">
      <dgm:prSet/>
      <dgm:spPr/>
      <dgm:t>
        <a:bodyPr/>
        <a:lstStyle/>
        <a:p>
          <a:r>
            <a:rPr lang="en-US"/>
            <a:t>TBH21       Specialist, SW Engineer</a:t>
          </a:r>
        </a:p>
      </dgm:t>
    </dgm:pt>
    <dgm:pt modelId="{3AC88BF0-11E6-446A-B888-65D18A3EEA0B}" type="parTrans" cxnId="{29CC8217-0279-4B69-9162-A9060CB52D57}">
      <dgm:prSet/>
      <dgm:spPr/>
      <dgm:t>
        <a:bodyPr/>
        <a:lstStyle/>
        <a:p>
          <a:endParaRPr lang="en-US"/>
        </a:p>
      </dgm:t>
    </dgm:pt>
    <dgm:pt modelId="{9153B79F-680D-457D-887E-EE1DFEE9DA2F}" type="sibTrans" cxnId="{29CC8217-0279-4B69-9162-A9060CB52D57}">
      <dgm:prSet/>
      <dgm:spPr/>
      <dgm:t>
        <a:bodyPr/>
        <a:lstStyle/>
        <a:p>
          <a:endParaRPr lang="en-US"/>
        </a:p>
      </dgm:t>
    </dgm:pt>
    <dgm:pt modelId="{9A904099-B286-45C8-98FA-C3DA6C9E1162}">
      <dgm:prSet/>
      <dgm:spPr/>
      <dgm:t>
        <a:bodyPr/>
        <a:lstStyle/>
        <a:p>
          <a:r>
            <a:rPr lang="en-US"/>
            <a:t>TBH22       Specialist, SW Engineer</a:t>
          </a:r>
        </a:p>
      </dgm:t>
    </dgm:pt>
    <dgm:pt modelId="{254FB5D2-AF39-4183-A043-B3276015381D}" type="parTrans" cxnId="{59D68ED2-204E-4EBC-A873-D8E1ABFF38D2}">
      <dgm:prSet/>
      <dgm:spPr/>
      <dgm:t>
        <a:bodyPr/>
        <a:lstStyle/>
        <a:p>
          <a:endParaRPr lang="en-US"/>
        </a:p>
      </dgm:t>
    </dgm:pt>
    <dgm:pt modelId="{034B79B4-1D6E-4242-A5E9-C4C87FB634A1}" type="sibTrans" cxnId="{59D68ED2-204E-4EBC-A873-D8E1ABFF38D2}">
      <dgm:prSet/>
      <dgm:spPr/>
      <dgm:t>
        <a:bodyPr/>
        <a:lstStyle/>
        <a:p>
          <a:endParaRPr lang="en-US"/>
        </a:p>
      </dgm:t>
    </dgm:pt>
    <dgm:pt modelId="{FBFDD4DC-8E48-4CA5-AF76-2D0F8A8F5221}">
      <dgm:prSet/>
      <dgm:spPr/>
      <dgm:t>
        <a:bodyPr/>
        <a:lstStyle/>
        <a:p>
          <a:r>
            <a:rPr lang="en-US"/>
            <a:t>Admin		</a:t>
          </a:r>
        </a:p>
      </dgm:t>
    </dgm:pt>
    <dgm:pt modelId="{B1A5A14A-9B75-403F-9921-4AD6974FB046}" type="parTrans" cxnId="{3CA369F9-EA11-45D4-8A26-608A48C2AA26}">
      <dgm:prSet/>
      <dgm:spPr/>
      <dgm:t>
        <a:bodyPr/>
        <a:lstStyle/>
        <a:p>
          <a:endParaRPr lang="en-US"/>
        </a:p>
      </dgm:t>
    </dgm:pt>
    <dgm:pt modelId="{35BCCCF8-575B-43C2-B942-F2CC6E0E31D4}" type="sibTrans" cxnId="{3CA369F9-EA11-45D4-8A26-608A48C2AA26}">
      <dgm:prSet/>
      <dgm:spPr/>
      <dgm:t>
        <a:bodyPr/>
        <a:lstStyle/>
        <a:p>
          <a:endParaRPr lang="en-US"/>
        </a:p>
      </dgm:t>
    </dgm:pt>
    <dgm:pt modelId="{A86789B6-B681-42E1-B289-93943589BD55}">
      <dgm:prSet/>
      <dgm:spPr>
        <a:ln>
          <a:prstDash val="dash"/>
        </a:ln>
      </dgm:spPr>
      <dgm:t>
        <a:bodyPr/>
        <a:lstStyle/>
        <a:p>
          <a:r>
            <a:rPr lang="en-US"/>
            <a:t>Klein, Alex    Associate, Admin</a:t>
          </a:r>
        </a:p>
      </dgm:t>
    </dgm:pt>
    <dgm:pt modelId="{96AF6E72-D499-4C48-AFF5-6020ECCCA772}" type="parTrans" cxnId="{EE9A8778-84C2-48BC-BCA1-15F7A9BEAB9D}">
      <dgm:prSet/>
      <dgm:spPr/>
      <dgm:t>
        <a:bodyPr/>
        <a:lstStyle/>
        <a:p>
          <a:endParaRPr lang="en-US"/>
        </a:p>
      </dgm:t>
    </dgm:pt>
    <dgm:pt modelId="{80D25566-5BB2-4667-9875-E68C08E76827}" type="sibTrans" cxnId="{EE9A8778-84C2-48BC-BCA1-15F7A9BEAB9D}">
      <dgm:prSet/>
      <dgm:spPr/>
      <dgm:t>
        <a:bodyPr/>
        <a:lstStyle/>
        <a:p>
          <a:endParaRPr lang="en-US"/>
        </a:p>
      </dgm:t>
    </dgm:pt>
    <dgm:pt modelId="{9DC871A3-3B1F-4CB3-B444-E06C968DEA1E}">
      <dgm:prSet/>
      <dgm:spPr/>
      <dgm:t>
        <a:bodyPr/>
        <a:lstStyle/>
        <a:p>
          <a:r>
            <a:rPr lang="en-US"/>
            <a:t>McGuirk, Hannah    Admin</a:t>
          </a:r>
        </a:p>
      </dgm:t>
    </dgm:pt>
    <dgm:pt modelId="{F9C6BD0F-EED6-4669-ADF8-22DCB64E682D}" type="parTrans" cxnId="{00EBCC43-4558-4853-B9DB-8F4D5E31E731}">
      <dgm:prSet/>
      <dgm:spPr/>
      <dgm:t>
        <a:bodyPr/>
        <a:lstStyle/>
        <a:p>
          <a:endParaRPr lang="en-US"/>
        </a:p>
      </dgm:t>
    </dgm:pt>
    <dgm:pt modelId="{5E227CFC-5C66-46D2-A87E-CD41D0965381}" type="sibTrans" cxnId="{00EBCC43-4558-4853-B9DB-8F4D5E31E731}">
      <dgm:prSet/>
      <dgm:spPr/>
      <dgm:t>
        <a:bodyPr/>
        <a:lstStyle/>
        <a:p>
          <a:endParaRPr lang="en-US"/>
        </a:p>
      </dgm:t>
    </dgm:pt>
    <dgm:pt modelId="{18F3111D-520D-4B69-A066-2CBED1C1A526}">
      <dgm:prSet/>
      <dgm:spPr/>
      <dgm:t>
        <a:bodyPr/>
        <a:lstStyle/>
        <a:p>
          <a:r>
            <a:rPr lang="en-US"/>
            <a:t>DevOps		</a:t>
          </a:r>
        </a:p>
      </dgm:t>
    </dgm:pt>
    <dgm:pt modelId="{1317C1E8-A6F0-41E4-BFF4-1702A187F804}" type="parTrans" cxnId="{F401140B-2A59-46B7-B77F-EDE837414FF3}">
      <dgm:prSet/>
      <dgm:spPr/>
      <dgm:t>
        <a:bodyPr/>
        <a:lstStyle/>
        <a:p>
          <a:endParaRPr lang="en-US"/>
        </a:p>
      </dgm:t>
    </dgm:pt>
    <dgm:pt modelId="{38698A52-14F3-4441-B33C-B6D06777E59C}" type="sibTrans" cxnId="{F401140B-2A59-46B7-B77F-EDE837414FF3}">
      <dgm:prSet/>
      <dgm:spPr/>
      <dgm:t>
        <a:bodyPr/>
        <a:lstStyle/>
        <a:p>
          <a:endParaRPr lang="en-US"/>
        </a:p>
      </dgm:t>
    </dgm:pt>
    <dgm:pt modelId="{FCCE9253-95CB-4511-A1F1-7E7EB6E35332}">
      <dgm:prSet/>
      <dgm:spPr/>
      <dgm:t>
        <a:bodyPr/>
        <a:lstStyle/>
        <a:p>
          <a:r>
            <a:rPr lang="en-US"/>
            <a:t>Harty, Meaghan    Software Engineer</a:t>
          </a:r>
        </a:p>
      </dgm:t>
    </dgm:pt>
    <dgm:pt modelId="{EAD5B757-0023-4587-BE9C-9FB867AF43C9}" type="parTrans" cxnId="{1F78E6A8-CAE8-4AC4-A993-AED41B861D29}">
      <dgm:prSet/>
      <dgm:spPr/>
      <dgm:t>
        <a:bodyPr/>
        <a:lstStyle/>
        <a:p>
          <a:endParaRPr lang="en-US"/>
        </a:p>
      </dgm:t>
    </dgm:pt>
    <dgm:pt modelId="{F11DD645-9DB3-4F75-9348-5BA243374197}" type="sibTrans" cxnId="{1F78E6A8-CAE8-4AC4-A993-AED41B861D29}">
      <dgm:prSet/>
      <dgm:spPr/>
      <dgm:t>
        <a:bodyPr/>
        <a:lstStyle/>
        <a:p>
          <a:endParaRPr lang="en-US"/>
        </a:p>
      </dgm:t>
    </dgm:pt>
    <dgm:pt modelId="{AAC24581-D66F-4F3B-92ED-CCFE3E4B9C7A}">
      <dgm:prSet/>
      <dgm:spPr/>
      <dgm:t>
        <a:bodyPr/>
        <a:lstStyle/>
        <a:p>
          <a:r>
            <a:rPr lang="en-US"/>
            <a:t>Robinson, Sean    Software Engineer</a:t>
          </a:r>
        </a:p>
      </dgm:t>
    </dgm:pt>
    <dgm:pt modelId="{9E9D2B73-DE2F-42A7-84B7-910C3CEF6A8B}" type="parTrans" cxnId="{BFC962BA-628C-466A-BD12-2B4E5DA12736}">
      <dgm:prSet/>
      <dgm:spPr/>
      <dgm:t>
        <a:bodyPr/>
        <a:lstStyle/>
        <a:p>
          <a:endParaRPr lang="en-US"/>
        </a:p>
      </dgm:t>
    </dgm:pt>
    <dgm:pt modelId="{B7DD3584-D94B-44DD-A119-5BC724AE84CF}" type="sibTrans" cxnId="{BFC962BA-628C-466A-BD12-2B4E5DA12736}">
      <dgm:prSet/>
      <dgm:spPr/>
      <dgm:t>
        <a:bodyPr/>
        <a:lstStyle/>
        <a:p>
          <a:endParaRPr lang="en-US"/>
        </a:p>
      </dgm:t>
    </dgm:pt>
    <dgm:pt modelId="{5519C8DA-3272-488E-BAAE-4D1BFC9D1F8F}">
      <dgm:prSet/>
      <dgm:spPr/>
      <dgm:t>
        <a:bodyPr/>
        <a:lstStyle/>
        <a:p>
          <a:r>
            <a:rPr lang="en-US"/>
            <a:t>Van Thong, Adrien    Senior, SW Engineer</a:t>
          </a:r>
        </a:p>
      </dgm:t>
    </dgm:pt>
    <dgm:pt modelId="{AFFAFA00-439B-4898-ABD2-60B0E1D3988A}" type="parTrans" cxnId="{DE9AC2EE-D3E9-4E79-A983-89F55D8087CF}">
      <dgm:prSet/>
      <dgm:spPr/>
      <dgm:t>
        <a:bodyPr/>
        <a:lstStyle/>
        <a:p>
          <a:endParaRPr lang="en-US"/>
        </a:p>
      </dgm:t>
    </dgm:pt>
    <dgm:pt modelId="{5E60AFC3-368A-44BC-8359-A27902A38CC0}" type="sibTrans" cxnId="{DE9AC2EE-D3E9-4E79-A983-89F55D8087CF}">
      <dgm:prSet/>
      <dgm:spPr/>
      <dgm:t>
        <a:bodyPr/>
        <a:lstStyle/>
        <a:p>
          <a:endParaRPr lang="en-US"/>
        </a:p>
      </dgm:t>
    </dgm:pt>
    <dgm:pt modelId="{5593D83C-6CE5-4409-B747-C53F41A70B52}">
      <dgm:prSet/>
      <dgm:spPr/>
      <dgm:t>
        <a:bodyPr/>
        <a:lstStyle/>
        <a:p>
          <a:r>
            <a:rPr lang="en-US"/>
            <a:t>TBH1</a:t>
          </a:r>
        </a:p>
        <a:p>
          <a:r>
            <a:rPr lang="en-US"/>
            <a:t>Software Engineer</a:t>
          </a:r>
        </a:p>
      </dgm:t>
    </dgm:pt>
    <dgm:pt modelId="{32204AD6-2643-4F7C-84E6-0B247DA7FF07}" type="parTrans" cxnId="{B6DE5413-BB1A-4A59-B7DC-DF0679530F6E}">
      <dgm:prSet/>
      <dgm:spPr/>
      <dgm:t>
        <a:bodyPr/>
        <a:lstStyle/>
        <a:p>
          <a:endParaRPr lang="en-US"/>
        </a:p>
      </dgm:t>
    </dgm:pt>
    <dgm:pt modelId="{C1086B23-DE49-478D-824C-7BAF9065E082}" type="sibTrans" cxnId="{B6DE5413-BB1A-4A59-B7DC-DF0679530F6E}">
      <dgm:prSet/>
      <dgm:spPr/>
      <dgm:t>
        <a:bodyPr/>
        <a:lstStyle/>
        <a:p>
          <a:endParaRPr lang="en-US"/>
        </a:p>
      </dgm:t>
    </dgm:pt>
    <dgm:pt modelId="{AE35686F-8D48-49A8-B153-AAE7CE5023FA}">
      <dgm:prSet/>
      <dgm:spPr/>
      <dgm:t>
        <a:bodyPr/>
        <a:lstStyle/>
        <a:p>
          <a:r>
            <a:rPr lang="en-US"/>
            <a:t>Free		</a:t>
          </a:r>
        </a:p>
      </dgm:t>
    </dgm:pt>
    <dgm:pt modelId="{76909BD7-EDC6-41B7-8F53-D183B60CE775}" type="parTrans" cxnId="{29EFB8DE-9103-4B19-A39C-83D402386E88}">
      <dgm:prSet/>
      <dgm:spPr/>
      <dgm:t>
        <a:bodyPr/>
        <a:lstStyle/>
        <a:p>
          <a:endParaRPr lang="en-US"/>
        </a:p>
      </dgm:t>
    </dgm:pt>
    <dgm:pt modelId="{B6E465FC-358E-4343-9CC0-F181BCFB5529}" type="sibTrans" cxnId="{29EFB8DE-9103-4B19-A39C-83D402386E88}">
      <dgm:prSet/>
      <dgm:spPr/>
      <dgm:t>
        <a:bodyPr/>
        <a:lstStyle/>
        <a:p>
          <a:endParaRPr lang="en-US"/>
        </a:p>
      </dgm:t>
    </dgm:pt>
    <dgm:pt modelId="{F489B554-8D2F-46EF-A187-59BBEECCD4C1}">
      <dgm:prSet/>
      <dgm:spPr>
        <a:ln>
          <a:prstDash val="dash"/>
        </a:ln>
      </dgm:spPr>
      <dgm:t>
        <a:bodyPr/>
        <a:lstStyle/>
        <a:p>
          <a:r>
            <a:rPr lang="en-US"/>
            <a:t>TBH2	</a:t>
          </a:r>
        </a:p>
      </dgm:t>
    </dgm:pt>
    <dgm:pt modelId="{EF03B21C-2577-4BB8-B27B-626813B75DB7}" type="parTrans" cxnId="{B4DB5116-229B-4220-8D7C-830D8A48D4F3}">
      <dgm:prSet/>
      <dgm:spPr/>
      <dgm:t>
        <a:bodyPr/>
        <a:lstStyle/>
        <a:p>
          <a:endParaRPr lang="en-US"/>
        </a:p>
      </dgm:t>
    </dgm:pt>
    <dgm:pt modelId="{74EB7623-4724-477A-B81A-125E10553191}" type="sibTrans" cxnId="{B4DB5116-229B-4220-8D7C-830D8A48D4F3}">
      <dgm:prSet/>
      <dgm:spPr/>
      <dgm:t>
        <a:bodyPr/>
        <a:lstStyle/>
        <a:p>
          <a:endParaRPr lang="en-US"/>
        </a:p>
      </dgm:t>
    </dgm:pt>
    <dgm:pt modelId="{23545B84-C401-428B-A9AD-DC3EAEE7B747}">
      <dgm:prSet/>
      <dgm:spPr>
        <a:ln>
          <a:prstDash val="dash"/>
        </a:ln>
      </dgm:spPr>
      <dgm:t>
        <a:bodyPr/>
        <a:lstStyle/>
        <a:p>
          <a:r>
            <a:rPr lang="en-US"/>
            <a:t>TBH13	</a:t>
          </a:r>
        </a:p>
      </dgm:t>
    </dgm:pt>
    <dgm:pt modelId="{5597A5CF-5AAB-4A58-896A-E0318F9586EF}" type="parTrans" cxnId="{02A6EF57-6CEA-4EEA-99FC-2FEE6C77DCA7}">
      <dgm:prSet/>
      <dgm:spPr/>
      <dgm:t>
        <a:bodyPr/>
        <a:lstStyle/>
        <a:p>
          <a:endParaRPr lang="en-US"/>
        </a:p>
      </dgm:t>
    </dgm:pt>
    <dgm:pt modelId="{0EEDDC92-D01A-44F3-A654-292EC3A861C3}" type="sibTrans" cxnId="{02A6EF57-6CEA-4EEA-99FC-2FEE6C77DCA7}">
      <dgm:prSet/>
      <dgm:spPr/>
      <dgm:t>
        <a:bodyPr/>
        <a:lstStyle/>
        <a:p>
          <a:endParaRPr lang="en-US"/>
        </a:p>
      </dgm:t>
    </dgm:pt>
    <dgm:pt modelId="{7EFA3376-3825-4F01-A6E2-0BB97F192A92}">
      <dgm:prSet/>
      <dgm:spPr/>
      <dgm:t>
        <a:bodyPr/>
        <a:lstStyle/>
        <a:p>
          <a:r>
            <a:rPr lang="en-US"/>
            <a:t>TBH15	</a:t>
          </a:r>
        </a:p>
      </dgm:t>
    </dgm:pt>
    <dgm:pt modelId="{0F800CC3-C939-4407-8069-48430947465A}" type="parTrans" cxnId="{0E8E0A76-D6C6-4F66-AC33-ECDC8E1167CB}">
      <dgm:prSet/>
      <dgm:spPr/>
      <dgm:t>
        <a:bodyPr/>
        <a:lstStyle/>
        <a:p>
          <a:endParaRPr lang="en-US"/>
        </a:p>
      </dgm:t>
    </dgm:pt>
    <dgm:pt modelId="{975723F9-DA9B-4622-A6F2-EF6D1C2247A0}" type="sibTrans" cxnId="{0E8E0A76-D6C6-4F66-AC33-ECDC8E1167CB}">
      <dgm:prSet/>
      <dgm:spPr/>
      <dgm:t>
        <a:bodyPr/>
        <a:lstStyle/>
        <a:p>
          <a:endParaRPr lang="en-US"/>
        </a:p>
      </dgm:t>
    </dgm:pt>
    <dgm:pt modelId="{08393B2E-9BF4-49A2-9972-ADDB71CC4F2B}" type="pres">
      <dgm:prSet presAssocID="{E132558C-8268-4AD9-A511-4ADB8381629A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126BBE29-7EF8-4B18-A57A-08A781833F71}" type="pres">
      <dgm:prSet presAssocID="{136AD511-270B-443E-9642-097F0FB47CC3}" presName="root" presStyleCnt="0"/>
      <dgm:spPr/>
      <dgm:t>
        <a:bodyPr/>
        <a:lstStyle/>
        <a:p>
          <a:endParaRPr lang="en-US"/>
        </a:p>
      </dgm:t>
    </dgm:pt>
    <dgm:pt modelId="{26249667-19A8-498F-AB9B-E2611CAA63EC}" type="pres">
      <dgm:prSet presAssocID="{136AD511-270B-443E-9642-097F0FB47CC3}" presName="rootComposite" presStyleCnt="0"/>
      <dgm:spPr/>
      <dgm:t>
        <a:bodyPr/>
        <a:lstStyle/>
        <a:p>
          <a:endParaRPr lang="en-US"/>
        </a:p>
      </dgm:t>
    </dgm:pt>
    <dgm:pt modelId="{863F6A81-D908-47E8-91C2-A86BEE3B063F}" type="pres">
      <dgm:prSet presAssocID="{136AD511-270B-443E-9642-097F0FB47CC3}" presName="rootText" presStyleLbl="node1" presStyleIdx="0" presStyleCnt="5"/>
      <dgm:spPr/>
      <dgm:t>
        <a:bodyPr/>
        <a:lstStyle/>
        <a:p>
          <a:endParaRPr lang="en-US"/>
        </a:p>
      </dgm:t>
    </dgm:pt>
    <dgm:pt modelId="{77139F68-C34B-4D3F-AFC0-457D7B1EE181}" type="pres">
      <dgm:prSet presAssocID="{136AD511-270B-443E-9642-097F0FB47CC3}" presName="rootConnector" presStyleLbl="node1" presStyleIdx="0" presStyleCnt="5"/>
      <dgm:spPr/>
      <dgm:t>
        <a:bodyPr/>
        <a:lstStyle/>
        <a:p>
          <a:endParaRPr lang="en-US"/>
        </a:p>
      </dgm:t>
    </dgm:pt>
    <dgm:pt modelId="{B2496463-8210-40CE-B7E3-2325F0253387}" type="pres">
      <dgm:prSet presAssocID="{136AD511-270B-443E-9642-097F0FB47CC3}" presName="childShape" presStyleCnt="0"/>
      <dgm:spPr/>
      <dgm:t>
        <a:bodyPr/>
        <a:lstStyle/>
        <a:p>
          <a:endParaRPr lang="en-US"/>
        </a:p>
      </dgm:t>
    </dgm:pt>
    <dgm:pt modelId="{BFF138C2-FF6F-47FE-8E53-7AF59D58E0EB}" type="pres">
      <dgm:prSet presAssocID="{BF2C9F70-441B-4158-B66A-7F596CFEF726}" presName="Name13" presStyleLbl="parChTrans1D2" presStyleIdx="0" presStyleCnt="13"/>
      <dgm:spPr/>
      <dgm:t>
        <a:bodyPr/>
        <a:lstStyle/>
        <a:p>
          <a:endParaRPr lang="en-US"/>
        </a:p>
      </dgm:t>
    </dgm:pt>
    <dgm:pt modelId="{0E8CAAA9-0EBE-4454-B41A-29D5A4857899}" type="pres">
      <dgm:prSet presAssocID="{6C652C29-457E-4552-8467-9F4581559671}" presName="childText" presStyleLbl="bgAcc1" presStyleIdx="0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7752750-CBAE-49D1-AB22-91AD68E30D04}" type="pres">
      <dgm:prSet presAssocID="{545FB255-F01D-44ED-B93B-A58E2BAA349C}" presName="root" presStyleCnt="0"/>
      <dgm:spPr/>
    </dgm:pt>
    <dgm:pt modelId="{21990119-FBB1-4DC8-95C0-BDC230C854FA}" type="pres">
      <dgm:prSet presAssocID="{545FB255-F01D-44ED-B93B-A58E2BAA349C}" presName="rootComposite" presStyleCnt="0"/>
      <dgm:spPr/>
    </dgm:pt>
    <dgm:pt modelId="{9DA48358-76C5-4112-BAAD-8CE3BFAD7735}" type="pres">
      <dgm:prSet presAssocID="{545FB255-F01D-44ED-B93B-A58E2BAA349C}" presName="rootText" presStyleLbl="node1" presStyleIdx="1" presStyleCnt="5"/>
      <dgm:spPr/>
      <dgm:t>
        <a:bodyPr/>
        <a:lstStyle/>
        <a:p>
          <a:endParaRPr lang="en-US"/>
        </a:p>
      </dgm:t>
    </dgm:pt>
    <dgm:pt modelId="{D707DF30-64E9-4ADE-90B2-9C57A9A2B8E0}" type="pres">
      <dgm:prSet presAssocID="{545FB255-F01D-44ED-B93B-A58E2BAA349C}" presName="rootConnector" presStyleLbl="node1" presStyleIdx="1" presStyleCnt="5"/>
      <dgm:spPr/>
      <dgm:t>
        <a:bodyPr/>
        <a:lstStyle/>
        <a:p>
          <a:endParaRPr lang="en-US"/>
        </a:p>
      </dgm:t>
    </dgm:pt>
    <dgm:pt modelId="{98465E0C-2A51-48D8-988D-C8D271C62D2D}" type="pres">
      <dgm:prSet presAssocID="{545FB255-F01D-44ED-B93B-A58E2BAA349C}" presName="childShape" presStyleCnt="0"/>
      <dgm:spPr/>
    </dgm:pt>
    <dgm:pt modelId="{81679B33-0A44-48C1-B517-7EF88A6A709F}" type="pres">
      <dgm:prSet presAssocID="{4B95BE42-1C61-4635-B378-3BA15DE0FD0F}" presName="Name13" presStyleLbl="parChTrans1D2" presStyleIdx="1" presStyleCnt="13"/>
      <dgm:spPr/>
      <dgm:t>
        <a:bodyPr/>
        <a:lstStyle/>
        <a:p>
          <a:endParaRPr lang="en-US"/>
        </a:p>
      </dgm:t>
    </dgm:pt>
    <dgm:pt modelId="{7B0942BD-5320-47B0-BB04-2034B04F81E1}" type="pres">
      <dgm:prSet presAssocID="{53A8AA37-525D-4B94-9A85-EA0851385C37}" presName="childText" presStyleLbl="bgAcc1" presStyleIdx="1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2A810CD-3860-4EC0-BD99-05712C0B2CA7}" type="pres">
      <dgm:prSet presAssocID="{3AC88BF0-11E6-446A-B888-65D18A3EEA0B}" presName="Name13" presStyleLbl="parChTrans1D2" presStyleIdx="2" presStyleCnt="13"/>
      <dgm:spPr/>
      <dgm:t>
        <a:bodyPr/>
        <a:lstStyle/>
        <a:p>
          <a:endParaRPr lang="en-US"/>
        </a:p>
      </dgm:t>
    </dgm:pt>
    <dgm:pt modelId="{BEE12E02-512A-4140-8388-B97913C1769C}" type="pres">
      <dgm:prSet presAssocID="{87D872D7-00E9-420E-A3C7-2D3B65B5ACC6}" presName="childText" presStyleLbl="bgAcc1" presStyleIdx="2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DA5F1B2-A999-4EC8-85E1-B2E117C09C25}" type="pres">
      <dgm:prSet presAssocID="{254FB5D2-AF39-4183-A043-B3276015381D}" presName="Name13" presStyleLbl="parChTrans1D2" presStyleIdx="3" presStyleCnt="13"/>
      <dgm:spPr/>
      <dgm:t>
        <a:bodyPr/>
        <a:lstStyle/>
        <a:p>
          <a:endParaRPr lang="en-US"/>
        </a:p>
      </dgm:t>
    </dgm:pt>
    <dgm:pt modelId="{B6711088-D765-498B-9C1A-7FB0C0C095EC}" type="pres">
      <dgm:prSet presAssocID="{9A904099-B286-45C8-98FA-C3DA6C9E1162}" presName="childText" presStyleLbl="bgAcc1" presStyleIdx="3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965FC5D-D035-48D5-BED8-0F4BBD14D3D2}" type="pres">
      <dgm:prSet presAssocID="{18F3111D-520D-4B69-A066-2CBED1C1A526}" presName="root" presStyleCnt="0"/>
      <dgm:spPr/>
    </dgm:pt>
    <dgm:pt modelId="{D27F5FE0-88AF-4836-AB77-708C0691513E}" type="pres">
      <dgm:prSet presAssocID="{18F3111D-520D-4B69-A066-2CBED1C1A526}" presName="rootComposite" presStyleCnt="0"/>
      <dgm:spPr/>
    </dgm:pt>
    <dgm:pt modelId="{9EE7C0CA-A3DF-4305-AA48-8BCA06F4D83D}" type="pres">
      <dgm:prSet presAssocID="{18F3111D-520D-4B69-A066-2CBED1C1A526}" presName="rootText" presStyleLbl="node1" presStyleIdx="2" presStyleCnt="5"/>
      <dgm:spPr/>
      <dgm:t>
        <a:bodyPr/>
        <a:lstStyle/>
        <a:p>
          <a:endParaRPr lang="en-US"/>
        </a:p>
      </dgm:t>
    </dgm:pt>
    <dgm:pt modelId="{4C407C47-EE79-4604-805D-6DE4A2B78AF5}" type="pres">
      <dgm:prSet presAssocID="{18F3111D-520D-4B69-A066-2CBED1C1A526}" presName="rootConnector" presStyleLbl="node1" presStyleIdx="2" presStyleCnt="5"/>
      <dgm:spPr/>
      <dgm:t>
        <a:bodyPr/>
        <a:lstStyle/>
        <a:p>
          <a:endParaRPr lang="en-US"/>
        </a:p>
      </dgm:t>
    </dgm:pt>
    <dgm:pt modelId="{51DD7E5C-5C9E-4C45-8628-55FA7CE66742}" type="pres">
      <dgm:prSet presAssocID="{18F3111D-520D-4B69-A066-2CBED1C1A526}" presName="childShape" presStyleCnt="0"/>
      <dgm:spPr/>
    </dgm:pt>
    <dgm:pt modelId="{1B735661-0B45-438B-87F9-9F6A5FFA73FC}" type="pres">
      <dgm:prSet presAssocID="{EAD5B757-0023-4587-BE9C-9FB867AF43C9}" presName="Name13" presStyleLbl="parChTrans1D2" presStyleIdx="4" presStyleCnt="13"/>
      <dgm:spPr/>
      <dgm:t>
        <a:bodyPr/>
        <a:lstStyle/>
        <a:p>
          <a:endParaRPr lang="en-US"/>
        </a:p>
      </dgm:t>
    </dgm:pt>
    <dgm:pt modelId="{D6539467-96AD-4742-9EDD-C14FF4601569}" type="pres">
      <dgm:prSet presAssocID="{FCCE9253-95CB-4511-A1F1-7E7EB6E35332}" presName="childText" presStyleLbl="bgAcc1" presStyleIdx="4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EF01E25-5185-42DC-8261-310E13528110}" type="pres">
      <dgm:prSet presAssocID="{9E9D2B73-DE2F-42A7-84B7-910C3CEF6A8B}" presName="Name13" presStyleLbl="parChTrans1D2" presStyleIdx="5" presStyleCnt="13"/>
      <dgm:spPr/>
      <dgm:t>
        <a:bodyPr/>
        <a:lstStyle/>
        <a:p>
          <a:endParaRPr lang="en-US"/>
        </a:p>
      </dgm:t>
    </dgm:pt>
    <dgm:pt modelId="{5FFBC822-0006-4D87-A41A-9B7E8C0D0235}" type="pres">
      <dgm:prSet presAssocID="{AAC24581-D66F-4F3B-92ED-CCFE3E4B9C7A}" presName="childText" presStyleLbl="bgAcc1" presStyleIdx="5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B14639A-619B-4C21-B93F-C502EBD9D5B8}" type="pres">
      <dgm:prSet presAssocID="{AFFAFA00-439B-4898-ABD2-60B0E1D3988A}" presName="Name13" presStyleLbl="parChTrans1D2" presStyleIdx="6" presStyleCnt="13"/>
      <dgm:spPr/>
      <dgm:t>
        <a:bodyPr/>
        <a:lstStyle/>
        <a:p>
          <a:endParaRPr lang="en-US"/>
        </a:p>
      </dgm:t>
    </dgm:pt>
    <dgm:pt modelId="{8CD5194E-13AE-42CF-94AA-A63D363E9916}" type="pres">
      <dgm:prSet presAssocID="{5519C8DA-3272-488E-BAAE-4D1BFC9D1F8F}" presName="childText" presStyleLbl="bgAcc1" presStyleIdx="6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36E872-5754-48D0-8E91-BD536E1C94C6}" type="pres">
      <dgm:prSet presAssocID="{32204AD6-2643-4F7C-84E6-0B247DA7FF07}" presName="Name13" presStyleLbl="parChTrans1D2" presStyleIdx="7" presStyleCnt="13"/>
      <dgm:spPr/>
      <dgm:t>
        <a:bodyPr/>
        <a:lstStyle/>
        <a:p>
          <a:endParaRPr lang="en-US"/>
        </a:p>
      </dgm:t>
    </dgm:pt>
    <dgm:pt modelId="{252DB21E-E446-45EC-90B2-64A24CBBBD7E}" type="pres">
      <dgm:prSet presAssocID="{5593D83C-6CE5-4409-B747-C53F41A70B52}" presName="childText" presStyleLbl="bgAcc1" presStyleIdx="7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13E0356-AB1A-4B57-BEBC-2DE011B91C61}" type="pres">
      <dgm:prSet presAssocID="{FBFDD4DC-8E48-4CA5-AF76-2D0F8A8F5221}" presName="root" presStyleCnt="0"/>
      <dgm:spPr/>
    </dgm:pt>
    <dgm:pt modelId="{63AAFC84-D78F-4417-A43A-F1C38581F5D3}" type="pres">
      <dgm:prSet presAssocID="{FBFDD4DC-8E48-4CA5-AF76-2D0F8A8F5221}" presName="rootComposite" presStyleCnt="0"/>
      <dgm:spPr/>
    </dgm:pt>
    <dgm:pt modelId="{29F25F83-3D17-4BC3-A203-19B755C6295D}" type="pres">
      <dgm:prSet presAssocID="{FBFDD4DC-8E48-4CA5-AF76-2D0F8A8F5221}" presName="rootText" presStyleLbl="node1" presStyleIdx="3" presStyleCnt="5"/>
      <dgm:spPr/>
      <dgm:t>
        <a:bodyPr/>
        <a:lstStyle/>
        <a:p>
          <a:endParaRPr lang="en-US"/>
        </a:p>
      </dgm:t>
    </dgm:pt>
    <dgm:pt modelId="{241F9B1B-7574-41E6-926B-6AF34061F44C}" type="pres">
      <dgm:prSet presAssocID="{FBFDD4DC-8E48-4CA5-AF76-2D0F8A8F5221}" presName="rootConnector" presStyleLbl="node1" presStyleIdx="3" presStyleCnt="5"/>
      <dgm:spPr/>
      <dgm:t>
        <a:bodyPr/>
        <a:lstStyle/>
        <a:p>
          <a:endParaRPr lang="en-US"/>
        </a:p>
      </dgm:t>
    </dgm:pt>
    <dgm:pt modelId="{668E10CF-9660-4B6B-B971-5ECC9559EE11}" type="pres">
      <dgm:prSet presAssocID="{FBFDD4DC-8E48-4CA5-AF76-2D0F8A8F5221}" presName="childShape" presStyleCnt="0"/>
      <dgm:spPr/>
    </dgm:pt>
    <dgm:pt modelId="{74DF2546-2385-4AEF-97F6-832216439EAB}" type="pres">
      <dgm:prSet presAssocID="{96AF6E72-D499-4C48-AFF5-6020ECCCA772}" presName="Name13" presStyleLbl="parChTrans1D2" presStyleIdx="8" presStyleCnt="13"/>
      <dgm:spPr/>
      <dgm:t>
        <a:bodyPr/>
        <a:lstStyle/>
        <a:p>
          <a:endParaRPr lang="en-US"/>
        </a:p>
      </dgm:t>
    </dgm:pt>
    <dgm:pt modelId="{1C585FAB-B6C4-40EC-8E10-8D7A72204009}" type="pres">
      <dgm:prSet presAssocID="{A86789B6-B681-42E1-B289-93943589BD55}" presName="childText" presStyleLbl="bgAcc1" presStyleIdx="8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2BBC4E9-35BE-48DF-A605-AB9F71399752}" type="pres">
      <dgm:prSet presAssocID="{F9C6BD0F-EED6-4669-ADF8-22DCB64E682D}" presName="Name13" presStyleLbl="parChTrans1D2" presStyleIdx="9" presStyleCnt="13"/>
      <dgm:spPr/>
      <dgm:t>
        <a:bodyPr/>
        <a:lstStyle/>
        <a:p>
          <a:endParaRPr lang="en-US"/>
        </a:p>
      </dgm:t>
    </dgm:pt>
    <dgm:pt modelId="{BD51E876-97D3-47E6-9EE5-90818097AF45}" type="pres">
      <dgm:prSet presAssocID="{9DC871A3-3B1F-4CB3-B444-E06C968DEA1E}" presName="childText" presStyleLbl="bgAcc1" presStyleIdx="9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CD70B9F-1CBD-468F-815F-FE9F0CACC217}" type="pres">
      <dgm:prSet presAssocID="{AE35686F-8D48-49A8-B153-AAE7CE5023FA}" presName="root" presStyleCnt="0"/>
      <dgm:spPr/>
    </dgm:pt>
    <dgm:pt modelId="{46ADD48C-3918-4011-843F-CFF93088488D}" type="pres">
      <dgm:prSet presAssocID="{AE35686F-8D48-49A8-B153-AAE7CE5023FA}" presName="rootComposite" presStyleCnt="0"/>
      <dgm:spPr/>
    </dgm:pt>
    <dgm:pt modelId="{3CFA71EB-6831-4419-9912-98BD5B89018F}" type="pres">
      <dgm:prSet presAssocID="{AE35686F-8D48-49A8-B153-AAE7CE5023FA}" presName="rootText" presStyleLbl="node1" presStyleIdx="4" presStyleCnt="5"/>
      <dgm:spPr/>
      <dgm:t>
        <a:bodyPr/>
        <a:lstStyle/>
        <a:p>
          <a:endParaRPr lang="en-US"/>
        </a:p>
      </dgm:t>
    </dgm:pt>
    <dgm:pt modelId="{F9B24B4A-65C9-4BCD-99A5-F7A267D56348}" type="pres">
      <dgm:prSet presAssocID="{AE35686F-8D48-49A8-B153-AAE7CE5023FA}" presName="rootConnector" presStyleLbl="node1" presStyleIdx="4" presStyleCnt="5"/>
      <dgm:spPr/>
      <dgm:t>
        <a:bodyPr/>
        <a:lstStyle/>
        <a:p>
          <a:endParaRPr lang="en-US"/>
        </a:p>
      </dgm:t>
    </dgm:pt>
    <dgm:pt modelId="{8BAF5CFD-DAE2-420F-9842-E8A031BE66FB}" type="pres">
      <dgm:prSet presAssocID="{AE35686F-8D48-49A8-B153-AAE7CE5023FA}" presName="childShape" presStyleCnt="0"/>
      <dgm:spPr/>
    </dgm:pt>
    <dgm:pt modelId="{4D1D4742-47CA-4F1A-B5AA-400A3B7EC85F}" type="pres">
      <dgm:prSet presAssocID="{EF03B21C-2577-4BB8-B27B-626813B75DB7}" presName="Name13" presStyleLbl="parChTrans1D2" presStyleIdx="10" presStyleCnt="13"/>
      <dgm:spPr/>
      <dgm:t>
        <a:bodyPr/>
        <a:lstStyle/>
        <a:p>
          <a:endParaRPr lang="en-US"/>
        </a:p>
      </dgm:t>
    </dgm:pt>
    <dgm:pt modelId="{5442D475-A791-4146-BB80-C09438E376D6}" type="pres">
      <dgm:prSet presAssocID="{F489B554-8D2F-46EF-A187-59BBEECCD4C1}" presName="childText" presStyleLbl="bgAcc1" presStyleIdx="10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5EBEA95-F15F-486D-A49B-52AD1A3C02E9}" type="pres">
      <dgm:prSet presAssocID="{5597A5CF-5AAB-4A58-896A-E0318F9586EF}" presName="Name13" presStyleLbl="parChTrans1D2" presStyleIdx="11" presStyleCnt="13"/>
      <dgm:spPr/>
      <dgm:t>
        <a:bodyPr/>
        <a:lstStyle/>
        <a:p>
          <a:endParaRPr lang="en-US"/>
        </a:p>
      </dgm:t>
    </dgm:pt>
    <dgm:pt modelId="{1D1210CB-4529-44B5-9FB1-7567C5E8EBED}" type="pres">
      <dgm:prSet presAssocID="{23545B84-C401-428B-A9AD-DC3EAEE7B747}" presName="childText" presStyleLbl="bgAcc1" presStyleIdx="11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6B02209-E662-41E8-882D-CA4E867ACA4B}" type="pres">
      <dgm:prSet presAssocID="{0F800CC3-C939-4407-8069-48430947465A}" presName="Name13" presStyleLbl="parChTrans1D2" presStyleIdx="12" presStyleCnt="13"/>
      <dgm:spPr/>
      <dgm:t>
        <a:bodyPr/>
        <a:lstStyle/>
        <a:p>
          <a:endParaRPr lang="en-US"/>
        </a:p>
      </dgm:t>
    </dgm:pt>
    <dgm:pt modelId="{A2C9BAB8-0DF9-45C9-A9D4-E05E222FCD39}" type="pres">
      <dgm:prSet presAssocID="{7EFA3376-3825-4F01-A6E2-0BB97F192A92}" presName="childText" presStyleLbl="bgAcc1" presStyleIdx="12" presStyleCnt="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C1A5BE2D-E2BE-4E7E-9E48-FA44C2BE6B83}" type="presOf" srcId="{AAC24581-D66F-4F3B-92ED-CCFE3E4B9C7A}" destId="{5FFBC822-0006-4D87-A41A-9B7E8C0D0235}" srcOrd="0" destOrd="0" presId="urn:microsoft.com/office/officeart/2005/8/layout/hierarchy3"/>
    <dgm:cxn modelId="{BE139E65-C426-4AED-9DBA-623A4E236F13}" type="presOf" srcId="{AE35686F-8D48-49A8-B153-AAE7CE5023FA}" destId="{F9B24B4A-65C9-4BCD-99A5-F7A267D56348}" srcOrd="1" destOrd="0" presId="urn:microsoft.com/office/officeart/2005/8/layout/hierarchy3"/>
    <dgm:cxn modelId="{1C1D7535-AC00-4B87-A38D-BF56E371535F}" type="presOf" srcId="{545FB255-F01D-44ED-B93B-A58E2BAA349C}" destId="{D707DF30-64E9-4ADE-90B2-9C57A9A2B8E0}" srcOrd="1" destOrd="0" presId="urn:microsoft.com/office/officeart/2005/8/layout/hierarchy3"/>
    <dgm:cxn modelId="{4762F271-691E-4A44-BF13-5DA88908031A}" type="presOf" srcId="{53A8AA37-525D-4B94-9A85-EA0851385C37}" destId="{7B0942BD-5320-47B0-BB04-2034B04F81E1}" srcOrd="0" destOrd="0" presId="urn:microsoft.com/office/officeart/2005/8/layout/hierarchy3"/>
    <dgm:cxn modelId="{88FB2D31-3F89-4AF4-A330-F8365F071AE0}" type="presOf" srcId="{87D872D7-00E9-420E-A3C7-2D3B65B5ACC6}" destId="{BEE12E02-512A-4140-8388-B97913C1769C}" srcOrd="0" destOrd="0" presId="urn:microsoft.com/office/officeart/2005/8/layout/hierarchy3"/>
    <dgm:cxn modelId="{0E8E0A76-D6C6-4F66-AC33-ECDC8E1167CB}" srcId="{AE35686F-8D48-49A8-B153-AAE7CE5023FA}" destId="{7EFA3376-3825-4F01-A6E2-0BB97F192A92}" srcOrd="2" destOrd="0" parTransId="{0F800CC3-C939-4407-8069-48430947465A}" sibTransId="{975723F9-DA9B-4622-A6F2-EF6D1C2247A0}"/>
    <dgm:cxn modelId="{D1795BF6-2AAC-48A6-915C-5448A98F1741}" type="presOf" srcId="{545FB255-F01D-44ED-B93B-A58E2BAA349C}" destId="{9DA48358-76C5-4112-BAAD-8CE3BFAD7735}" srcOrd="0" destOrd="0" presId="urn:microsoft.com/office/officeart/2005/8/layout/hierarchy3"/>
    <dgm:cxn modelId="{6FFDF50E-F888-49D2-921D-6DD115E18FEB}" type="presOf" srcId="{32204AD6-2643-4F7C-84E6-0B247DA7FF07}" destId="{9536E872-5754-48D0-8E91-BD536E1C94C6}" srcOrd="0" destOrd="0" presId="urn:microsoft.com/office/officeart/2005/8/layout/hierarchy3"/>
    <dgm:cxn modelId="{26E8F915-056B-4A71-867B-BE84EFEE3F98}" type="presOf" srcId="{FBFDD4DC-8E48-4CA5-AF76-2D0F8A8F5221}" destId="{241F9B1B-7574-41E6-926B-6AF34061F44C}" srcOrd="1" destOrd="0" presId="urn:microsoft.com/office/officeart/2005/8/layout/hierarchy3"/>
    <dgm:cxn modelId="{DE9AC2EE-D3E9-4E79-A983-89F55D8087CF}" srcId="{18F3111D-520D-4B69-A066-2CBED1C1A526}" destId="{5519C8DA-3272-488E-BAAE-4D1BFC9D1F8F}" srcOrd="2" destOrd="0" parTransId="{AFFAFA00-439B-4898-ABD2-60B0E1D3988A}" sibTransId="{5E60AFC3-368A-44BC-8359-A27902A38CC0}"/>
    <dgm:cxn modelId="{3CA369F9-EA11-45D4-8A26-608A48C2AA26}" srcId="{E132558C-8268-4AD9-A511-4ADB8381629A}" destId="{FBFDD4DC-8E48-4CA5-AF76-2D0F8A8F5221}" srcOrd="3" destOrd="0" parTransId="{B1A5A14A-9B75-403F-9921-4AD6974FB046}" sibTransId="{35BCCCF8-575B-43C2-B942-F2CC6E0E31D4}"/>
    <dgm:cxn modelId="{29CC8217-0279-4B69-9162-A9060CB52D57}" srcId="{545FB255-F01D-44ED-B93B-A58E2BAA349C}" destId="{87D872D7-00E9-420E-A3C7-2D3B65B5ACC6}" srcOrd="1" destOrd="0" parTransId="{3AC88BF0-11E6-446A-B888-65D18A3EEA0B}" sibTransId="{9153B79F-680D-457D-887E-EE1DFEE9DA2F}"/>
    <dgm:cxn modelId="{40AB7BE2-EFE1-4E41-8060-21B1567AE500}" type="presOf" srcId="{EAD5B757-0023-4587-BE9C-9FB867AF43C9}" destId="{1B735661-0B45-438B-87F9-9F6A5FFA73FC}" srcOrd="0" destOrd="0" presId="urn:microsoft.com/office/officeart/2005/8/layout/hierarchy3"/>
    <dgm:cxn modelId="{1B568A67-CA0C-4FA3-981D-7070C3F785C6}" type="presOf" srcId="{A86789B6-B681-42E1-B289-93943589BD55}" destId="{1C585FAB-B6C4-40EC-8E10-8D7A72204009}" srcOrd="0" destOrd="0" presId="urn:microsoft.com/office/officeart/2005/8/layout/hierarchy3"/>
    <dgm:cxn modelId="{F401140B-2A59-46B7-B77F-EDE837414FF3}" srcId="{E132558C-8268-4AD9-A511-4ADB8381629A}" destId="{18F3111D-520D-4B69-A066-2CBED1C1A526}" srcOrd="2" destOrd="0" parTransId="{1317C1E8-A6F0-41E4-BFF4-1702A187F804}" sibTransId="{38698A52-14F3-4441-B33C-B6D06777E59C}"/>
    <dgm:cxn modelId="{50F0CDCD-7E86-4CAB-98E8-0065141E186E}" type="presOf" srcId="{FBFDD4DC-8E48-4CA5-AF76-2D0F8A8F5221}" destId="{29F25F83-3D17-4BC3-A203-19B755C6295D}" srcOrd="0" destOrd="0" presId="urn:microsoft.com/office/officeart/2005/8/layout/hierarchy3"/>
    <dgm:cxn modelId="{CE95D6A3-CD2A-4EF0-89C9-2546C0C521FB}" type="presOf" srcId="{EF03B21C-2577-4BB8-B27B-626813B75DB7}" destId="{4D1D4742-47CA-4F1A-B5AA-400A3B7EC85F}" srcOrd="0" destOrd="0" presId="urn:microsoft.com/office/officeart/2005/8/layout/hierarchy3"/>
    <dgm:cxn modelId="{2FB7D4AF-BE23-4F3D-80E0-4B7F3CE032C9}" type="presOf" srcId="{18F3111D-520D-4B69-A066-2CBED1C1A526}" destId="{9EE7C0CA-A3DF-4305-AA48-8BCA06F4D83D}" srcOrd="0" destOrd="0" presId="urn:microsoft.com/office/officeart/2005/8/layout/hierarchy3"/>
    <dgm:cxn modelId="{B314744D-B197-4D8B-94F8-37397CAC1DCA}" type="presOf" srcId="{6C652C29-457E-4552-8467-9F4581559671}" destId="{0E8CAAA9-0EBE-4454-B41A-29D5A4857899}" srcOrd="0" destOrd="0" presId="urn:microsoft.com/office/officeart/2005/8/layout/hierarchy3"/>
    <dgm:cxn modelId="{00EBCC43-4558-4853-B9DB-8F4D5E31E731}" srcId="{FBFDD4DC-8E48-4CA5-AF76-2D0F8A8F5221}" destId="{9DC871A3-3B1F-4CB3-B444-E06C968DEA1E}" srcOrd="1" destOrd="0" parTransId="{F9C6BD0F-EED6-4669-ADF8-22DCB64E682D}" sibTransId="{5E227CFC-5C66-46D2-A87E-CD41D0965381}"/>
    <dgm:cxn modelId="{A1355A24-FE82-4999-851E-1633947D9AC2}" type="presOf" srcId="{AE35686F-8D48-49A8-B153-AAE7CE5023FA}" destId="{3CFA71EB-6831-4419-9912-98BD5B89018F}" srcOrd="0" destOrd="0" presId="urn:microsoft.com/office/officeart/2005/8/layout/hierarchy3"/>
    <dgm:cxn modelId="{6F2AA31C-F58F-409F-A7F4-445E73579826}" type="presOf" srcId="{0F800CC3-C939-4407-8069-48430947465A}" destId="{06B02209-E662-41E8-882D-CA4E867ACA4B}" srcOrd="0" destOrd="0" presId="urn:microsoft.com/office/officeart/2005/8/layout/hierarchy3"/>
    <dgm:cxn modelId="{6F2589D0-3916-4EBF-8574-78CDECDD22AE}" type="presOf" srcId="{9E9D2B73-DE2F-42A7-84B7-910C3CEF6A8B}" destId="{DEF01E25-5185-42DC-8261-310E13528110}" srcOrd="0" destOrd="0" presId="urn:microsoft.com/office/officeart/2005/8/layout/hierarchy3"/>
    <dgm:cxn modelId="{904377F6-918E-415A-BD29-C347685E76AD}" type="presOf" srcId="{23545B84-C401-428B-A9AD-DC3EAEE7B747}" destId="{1D1210CB-4529-44B5-9FB1-7567C5E8EBED}" srcOrd="0" destOrd="0" presId="urn:microsoft.com/office/officeart/2005/8/layout/hierarchy3"/>
    <dgm:cxn modelId="{838C0926-7D65-42FD-8C32-2F04EE8E9FC1}" type="presOf" srcId="{3AC88BF0-11E6-446A-B888-65D18A3EEA0B}" destId="{B2A810CD-3860-4EC0-BD99-05712C0B2CA7}" srcOrd="0" destOrd="0" presId="urn:microsoft.com/office/officeart/2005/8/layout/hierarchy3"/>
    <dgm:cxn modelId="{1A2B3CA9-0324-4F78-B76D-56CD776F5882}" type="presOf" srcId="{FCCE9253-95CB-4511-A1F1-7E7EB6E35332}" destId="{D6539467-96AD-4742-9EDD-C14FF4601569}" srcOrd="0" destOrd="0" presId="urn:microsoft.com/office/officeart/2005/8/layout/hierarchy3"/>
    <dgm:cxn modelId="{AB0316D7-07FE-4E12-A452-3775E3DFA931}" type="presOf" srcId="{9DC871A3-3B1F-4CB3-B444-E06C968DEA1E}" destId="{BD51E876-97D3-47E6-9EE5-90818097AF45}" srcOrd="0" destOrd="0" presId="urn:microsoft.com/office/officeart/2005/8/layout/hierarchy3"/>
    <dgm:cxn modelId="{231B2D27-6457-45A5-B756-92DCCC5AC4BB}" type="presOf" srcId="{7EFA3376-3825-4F01-A6E2-0BB97F192A92}" destId="{A2C9BAB8-0DF9-45C9-A9D4-E05E222FCD39}" srcOrd="0" destOrd="0" presId="urn:microsoft.com/office/officeart/2005/8/layout/hierarchy3"/>
    <dgm:cxn modelId="{B6DE5413-BB1A-4A59-B7DC-DF0679530F6E}" srcId="{18F3111D-520D-4B69-A066-2CBED1C1A526}" destId="{5593D83C-6CE5-4409-B747-C53F41A70B52}" srcOrd="3" destOrd="0" parTransId="{32204AD6-2643-4F7C-84E6-0B247DA7FF07}" sibTransId="{C1086B23-DE49-478D-824C-7BAF9065E082}"/>
    <dgm:cxn modelId="{059A4D0A-A52C-4FF3-932A-CDE7CB74553A}" type="presOf" srcId="{136AD511-270B-443E-9642-097F0FB47CC3}" destId="{863F6A81-D908-47E8-91C2-A86BEE3B063F}" srcOrd="0" destOrd="0" presId="urn:microsoft.com/office/officeart/2005/8/layout/hierarchy3"/>
    <dgm:cxn modelId="{29EFB8DE-9103-4B19-A39C-83D402386E88}" srcId="{E132558C-8268-4AD9-A511-4ADB8381629A}" destId="{AE35686F-8D48-49A8-B153-AAE7CE5023FA}" srcOrd="4" destOrd="0" parTransId="{76909BD7-EDC6-41B7-8F53-D183B60CE775}" sibTransId="{B6E465FC-358E-4343-9CC0-F181BCFB5529}"/>
    <dgm:cxn modelId="{2C7CDA1F-A1E8-4D5E-B154-25EC050FBFD0}" type="presOf" srcId="{F489B554-8D2F-46EF-A187-59BBEECCD4C1}" destId="{5442D475-A791-4146-BB80-C09438E376D6}" srcOrd="0" destOrd="0" presId="urn:microsoft.com/office/officeart/2005/8/layout/hierarchy3"/>
    <dgm:cxn modelId="{57A7915E-FA6C-43D2-9DB0-9014656F66C5}" srcId="{E132558C-8268-4AD9-A511-4ADB8381629A}" destId="{136AD511-270B-443E-9642-097F0FB47CC3}" srcOrd="0" destOrd="0" parTransId="{DD61555D-22C6-4103-8EB1-92C56776F13C}" sibTransId="{4FB00A71-D39A-4C1D-AAF9-F5A804223844}"/>
    <dgm:cxn modelId="{BFC962BA-628C-466A-BD12-2B4E5DA12736}" srcId="{18F3111D-520D-4B69-A066-2CBED1C1A526}" destId="{AAC24581-D66F-4F3B-92ED-CCFE3E4B9C7A}" srcOrd="1" destOrd="0" parTransId="{9E9D2B73-DE2F-42A7-84B7-910C3CEF6A8B}" sibTransId="{B7DD3584-D94B-44DD-A119-5BC724AE84CF}"/>
    <dgm:cxn modelId="{48598B6E-530F-4004-A2E3-9FE800EF6286}" type="presOf" srcId="{9A904099-B286-45C8-98FA-C3DA6C9E1162}" destId="{B6711088-D765-498B-9C1A-7FB0C0C095EC}" srcOrd="0" destOrd="0" presId="urn:microsoft.com/office/officeart/2005/8/layout/hierarchy3"/>
    <dgm:cxn modelId="{B4DB5116-229B-4220-8D7C-830D8A48D4F3}" srcId="{AE35686F-8D48-49A8-B153-AAE7CE5023FA}" destId="{F489B554-8D2F-46EF-A187-59BBEECCD4C1}" srcOrd="0" destOrd="0" parTransId="{EF03B21C-2577-4BB8-B27B-626813B75DB7}" sibTransId="{74EB7623-4724-477A-B81A-125E10553191}"/>
    <dgm:cxn modelId="{EE9A8778-84C2-48BC-BCA1-15F7A9BEAB9D}" srcId="{FBFDD4DC-8E48-4CA5-AF76-2D0F8A8F5221}" destId="{A86789B6-B681-42E1-B289-93943589BD55}" srcOrd="0" destOrd="0" parTransId="{96AF6E72-D499-4C48-AFF5-6020ECCCA772}" sibTransId="{80D25566-5BB2-4667-9875-E68C08E76827}"/>
    <dgm:cxn modelId="{06C4E972-17F6-4771-8062-06F154D229A0}" type="presOf" srcId="{18F3111D-520D-4B69-A066-2CBED1C1A526}" destId="{4C407C47-EE79-4604-805D-6DE4A2B78AF5}" srcOrd="1" destOrd="0" presId="urn:microsoft.com/office/officeart/2005/8/layout/hierarchy3"/>
    <dgm:cxn modelId="{C5126E03-48C6-4FFF-BC06-F7CFEC21D652}" type="presOf" srcId="{4B95BE42-1C61-4635-B378-3BA15DE0FD0F}" destId="{81679B33-0A44-48C1-B517-7EF88A6A709F}" srcOrd="0" destOrd="0" presId="urn:microsoft.com/office/officeart/2005/8/layout/hierarchy3"/>
    <dgm:cxn modelId="{35E823F3-9AF7-44A5-BB6A-396FA2377F71}" type="presOf" srcId="{BF2C9F70-441B-4158-B66A-7F596CFEF726}" destId="{BFF138C2-FF6F-47FE-8E53-7AF59D58E0EB}" srcOrd="0" destOrd="0" presId="urn:microsoft.com/office/officeart/2005/8/layout/hierarchy3"/>
    <dgm:cxn modelId="{59D68ED2-204E-4EBC-A873-D8E1ABFF38D2}" srcId="{545FB255-F01D-44ED-B93B-A58E2BAA349C}" destId="{9A904099-B286-45C8-98FA-C3DA6C9E1162}" srcOrd="2" destOrd="0" parTransId="{254FB5D2-AF39-4183-A043-B3276015381D}" sibTransId="{034B79B4-1D6E-4242-A5E9-C4C87FB634A1}"/>
    <dgm:cxn modelId="{02A6EF57-6CEA-4EEA-99FC-2FEE6C77DCA7}" srcId="{AE35686F-8D48-49A8-B153-AAE7CE5023FA}" destId="{23545B84-C401-428B-A9AD-DC3EAEE7B747}" srcOrd="1" destOrd="0" parTransId="{5597A5CF-5AAB-4A58-896A-E0318F9586EF}" sibTransId="{0EEDDC92-D01A-44F3-A654-292EC3A861C3}"/>
    <dgm:cxn modelId="{B80ADF63-5EBD-4FBE-8940-BF9E16D8F4DA}" srcId="{545FB255-F01D-44ED-B93B-A58E2BAA349C}" destId="{53A8AA37-525D-4B94-9A85-EA0851385C37}" srcOrd="0" destOrd="0" parTransId="{4B95BE42-1C61-4635-B378-3BA15DE0FD0F}" sibTransId="{ADB87D9D-A1F8-438D-9A14-FEC92577482A}"/>
    <dgm:cxn modelId="{1F78E6A8-CAE8-4AC4-A993-AED41B861D29}" srcId="{18F3111D-520D-4B69-A066-2CBED1C1A526}" destId="{FCCE9253-95CB-4511-A1F1-7E7EB6E35332}" srcOrd="0" destOrd="0" parTransId="{EAD5B757-0023-4587-BE9C-9FB867AF43C9}" sibTransId="{F11DD645-9DB3-4F75-9348-5BA243374197}"/>
    <dgm:cxn modelId="{A7292782-7B58-43D5-A6CD-69271A5A514A}" type="presOf" srcId="{96AF6E72-D499-4C48-AFF5-6020ECCCA772}" destId="{74DF2546-2385-4AEF-97F6-832216439EAB}" srcOrd="0" destOrd="0" presId="urn:microsoft.com/office/officeart/2005/8/layout/hierarchy3"/>
    <dgm:cxn modelId="{17D9D86D-EA63-439F-9861-8D5BE9661EAB}" srcId="{E132558C-8268-4AD9-A511-4ADB8381629A}" destId="{545FB255-F01D-44ED-B93B-A58E2BAA349C}" srcOrd="1" destOrd="0" parTransId="{30B31878-3A07-4059-9191-0ADA3BFE075D}" sibTransId="{3888FB28-6187-497C-B9C7-B252F74CF96C}"/>
    <dgm:cxn modelId="{4DCCEAC3-67B9-4A60-B759-5854C544CCD1}" type="presOf" srcId="{AFFAFA00-439B-4898-ABD2-60B0E1D3988A}" destId="{CB14639A-619B-4C21-B93F-C502EBD9D5B8}" srcOrd="0" destOrd="0" presId="urn:microsoft.com/office/officeart/2005/8/layout/hierarchy3"/>
    <dgm:cxn modelId="{C9637268-73A0-4260-B05B-871881F30C2B}" type="presOf" srcId="{254FB5D2-AF39-4183-A043-B3276015381D}" destId="{0DA5F1B2-A999-4EC8-85E1-B2E117C09C25}" srcOrd="0" destOrd="0" presId="urn:microsoft.com/office/officeart/2005/8/layout/hierarchy3"/>
    <dgm:cxn modelId="{C760EB3E-E3BC-4CF8-94A6-0FE84466C35B}" type="presOf" srcId="{5593D83C-6CE5-4409-B747-C53F41A70B52}" destId="{252DB21E-E446-45EC-90B2-64A24CBBBD7E}" srcOrd="0" destOrd="0" presId="urn:microsoft.com/office/officeart/2005/8/layout/hierarchy3"/>
    <dgm:cxn modelId="{E4F4AD2C-D93B-456D-ADD0-A4508F4A6C2E}" type="presOf" srcId="{F9C6BD0F-EED6-4669-ADF8-22DCB64E682D}" destId="{D2BBC4E9-35BE-48DF-A605-AB9F71399752}" srcOrd="0" destOrd="0" presId="urn:microsoft.com/office/officeart/2005/8/layout/hierarchy3"/>
    <dgm:cxn modelId="{786D7FC5-B607-4762-91C4-A897831DF224}" type="presOf" srcId="{136AD511-270B-443E-9642-097F0FB47CC3}" destId="{77139F68-C34B-4D3F-AFC0-457D7B1EE181}" srcOrd="1" destOrd="0" presId="urn:microsoft.com/office/officeart/2005/8/layout/hierarchy3"/>
    <dgm:cxn modelId="{130B86B6-0EE1-460D-A0AF-5DC42BA00EC0}" type="presOf" srcId="{5597A5CF-5AAB-4A58-896A-E0318F9586EF}" destId="{15EBEA95-F15F-486D-A49B-52AD1A3C02E9}" srcOrd="0" destOrd="0" presId="urn:microsoft.com/office/officeart/2005/8/layout/hierarchy3"/>
    <dgm:cxn modelId="{F526081A-3EAD-4CE6-AC7B-1A77017EA3EA}" srcId="{136AD511-270B-443E-9642-097F0FB47CC3}" destId="{6C652C29-457E-4552-8467-9F4581559671}" srcOrd="0" destOrd="0" parTransId="{BF2C9F70-441B-4158-B66A-7F596CFEF726}" sibTransId="{00D75EB8-BC79-4F7B-9D86-FBA64BED9522}"/>
    <dgm:cxn modelId="{F544E47B-B3F3-4D4A-9041-454A4CC337BA}" type="presOf" srcId="{E132558C-8268-4AD9-A511-4ADB8381629A}" destId="{08393B2E-9BF4-49A2-9972-ADDB71CC4F2B}" srcOrd="0" destOrd="0" presId="urn:microsoft.com/office/officeart/2005/8/layout/hierarchy3"/>
    <dgm:cxn modelId="{F37DAC77-AA8E-4B48-9722-878E764DD58D}" type="presOf" srcId="{5519C8DA-3272-488E-BAAE-4D1BFC9D1F8F}" destId="{8CD5194E-13AE-42CF-94AA-A63D363E9916}" srcOrd="0" destOrd="0" presId="urn:microsoft.com/office/officeart/2005/8/layout/hierarchy3"/>
    <dgm:cxn modelId="{D03B1796-BBC5-4377-BEA6-A39E1BF32F44}" type="presParOf" srcId="{08393B2E-9BF4-49A2-9972-ADDB71CC4F2B}" destId="{126BBE29-7EF8-4B18-A57A-08A781833F71}" srcOrd="0" destOrd="0" presId="urn:microsoft.com/office/officeart/2005/8/layout/hierarchy3"/>
    <dgm:cxn modelId="{936676D5-02FD-473D-84FA-501D73B81E1F}" type="presParOf" srcId="{126BBE29-7EF8-4B18-A57A-08A781833F71}" destId="{26249667-19A8-498F-AB9B-E2611CAA63EC}" srcOrd="0" destOrd="0" presId="urn:microsoft.com/office/officeart/2005/8/layout/hierarchy3"/>
    <dgm:cxn modelId="{FD70263A-C3E1-4F79-8B17-72F18508C6A9}" type="presParOf" srcId="{26249667-19A8-498F-AB9B-E2611CAA63EC}" destId="{863F6A81-D908-47E8-91C2-A86BEE3B063F}" srcOrd="0" destOrd="0" presId="urn:microsoft.com/office/officeart/2005/8/layout/hierarchy3"/>
    <dgm:cxn modelId="{984FFD67-CD9C-4DDB-803F-E3F2DD2A35EE}" type="presParOf" srcId="{26249667-19A8-498F-AB9B-E2611CAA63EC}" destId="{77139F68-C34B-4D3F-AFC0-457D7B1EE181}" srcOrd="1" destOrd="0" presId="urn:microsoft.com/office/officeart/2005/8/layout/hierarchy3"/>
    <dgm:cxn modelId="{0BD6B1DC-154A-46B8-AC15-7B3D778F7390}" type="presParOf" srcId="{126BBE29-7EF8-4B18-A57A-08A781833F71}" destId="{B2496463-8210-40CE-B7E3-2325F0253387}" srcOrd="1" destOrd="0" presId="urn:microsoft.com/office/officeart/2005/8/layout/hierarchy3"/>
    <dgm:cxn modelId="{5A5B5947-3DE0-45E2-AD18-769B68BD99F6}" type="presParOf" srcId="{B2496463-8210-40CE-B7E3-2325F0253387}" destId="{BFF138C2-FF6F-47FE-8E53-7AF59D58E0EB}" srcOrd="0" destOrd="0" presId="urn:microsoft.com/office/officeart/2005/8/layout/hierarchy3"/>
    <dgm:cxn modelId="{6F428739-243C-4E86-AEE5-3AB5202DA1BA}" type="presParOf" srcId="{B2496463-8210-40CE-B7E3-2325F0253387}" destId="{0E8CAAA9-0EBE-4454-B41A-29D5A4857899}" srcOrd="1" destOrd="0" presId="urn:microsoft.com/office/officeart/2005/8/layout/hierarchy3"/>
    <dgm:cxn modelId="{DB65FC8E-C040-47BE-9411-C394C6769F97}" type="presParOf" srcId="{08393B2E-9BF4-49A2-9972-ADDB71CC4F2B}" destId="{F7752750-CBAE-49D1-AB22-91AD68E30D04}" srcOrd="1" destOrd="0" presId="urn:microsoft.com/office/officeart/2005/8/layout/hierarchy3"/>
    <dgm:cxn modelId="{F49A5D12-D924-45A3-A577-E991F0185FEF}" type="presParOf" srcId="{F7752750-CBAE-49D1-AB22-91AD68E30D04}" destId="{21990119-FBB1-4DC8-95C0-BDC230C854FA}" srcOrd="0" destOrd="0" presId="urn:microsoft.com/office/officeart/2005/8/layout/hierarchy3"/>
    <dgm:cxn modelId="{FB48DBC6-B725-4D8A-905C-A4846C096336}" type="presParOf" srcId="{21990119-FBB1-4DC8-95C0-BDC230C854FA}" destId="{9DA48358-76C5-4112-BAAD-8CE3BFAD7735}" srcOrd="0" destOrd="0" presId="urn:microsoft.com/office/officeart/2005/8/layout/hierarchy3"/>
    <dgm:cxn modelId="{D844DAB6-15A5-4F4B-90E0-1EB52804C756}" type="presParOf" srcId="{21990119-FBB1-4DC8-95C0-BDC230C854FA}" destId="{D707DF30-64E9-4ADE-90B2-9C57A9A2B8E0}" srcOrd="1" destOrd="0" presId="urn:microsoft.com/office/officeart/2005/8/layout/hierarchy3"/>
    <dgm:cxn modelId="{E417D7F2-7EA5-4A58-BEE2-4528931545E2}" type="presParOf" srcId="{F7752750-CBAE-49D1-AB22-91AD68E30D04}" destId="{98465E0C-2A51-48D8-988D-C8D271C62D2D}" srcOrd="1" destOrd="0" presId="urn:microsoft.com/office/officeart/2005/8/layout/hierarchy3"/>
    <dgm:cxn modelId="{F857B151-52E3-451D-B5A5-C66CE0AC60CE}" type="presParOf" srcId="{98465E0C-2A51-48D8-988D-C8D271C62D2D}" destId="{81679B33-0A44-48C1-B517-7EF88A6A709F}" srcOrd="0" destOrd="0" presId="urn:microsoft.com/office/officeart/2005/8/layout/hierarchy3"/>
    <dgm:cxn modelId="{99E67D69-363C-437B-9DA1-209E418E0430}" type="presParOf" srcId="{98465E0C-2A51-48D8-988D-C8D271C62D2D}" destId="{7B0942BD-5320-47B0-BB04-2034B04F81E1}" srcOrd="1" destOrd="0" presId="urn:microsoft.com/office/officeart/2005/8/layout/hierarchy3"/>
    <dgm:cxn modelId="{10C1D50A-2EC3-49F0-BF9B-B0DDD16E210C}" type="presParOf" srcId="{98465E0C-2A51-48D8-988D-C8D271C62D2D}" destId="{B2A810CD-3860-4EC0-BD99-05712C0B2CA7}" srcOrd="2" destOrd="0" presId="urn:microsoft.com/office/officeart/2005/8/layout/hierarchy3"/>
    <dgm:cxn modelId="{CA625384-C8EE-4B39-AA31-231F2E26CE15}" type="presParOf" srcId="{98465E0C-2A51-48D8-988D-C8D271C62D2D}" destId="{BEE12E02-512A-4140-8388-B97913C1769C}" srcOrd="3" destOrd="0" presId="urn:microsoft.com/office/officeart/2005/8/layout/hierarchy3"/>
    <dgm:cxn modelId="{6403B019-6B42-4E12-AA9E-0F018A829E09}" type="presParOf" srcId="{98465E0C-2A51-48D8-988D-C8D271C62D2D}" destId="{0DA5F1B2-A999-4EC8-85E1-B2E117C09C25}" srcOrd="4" destOrd="0" presId="urn:microsoft.com/office/officeart/2005/8/layout/hierarchy3"/>
    <dgm:cxn modelId="{DF0A2E84-1F6B-4568-B356-F4C99EFF7A92}" type="presParOf" srcId="{98465E0C-2A51-48D8-988D-C8D271C62D2D}" destId="{B6711088-D765-498B-9C1A-7FB0C0C095EC}" srcOrd="5" destOrd="0" presId="urn:microsoft.com/office/officeart/2005/8/layout/hierarchy3"/>
    <dgm:cxn modelId="{387C7FA4-6109-4D43-AA7F-AC81E42E97F5}" type="presParOf" srcId="{08393B2E-9BF4-49A2-9972-ADDB71CC4F2B}" destId="{1965FC5D-D035-48D5-BED8-0F4BBD14D3D2}" srcOrd="2" destOrd="0" presId="urn:microsoft.com/office/officeart/2005/8/layout/hierarchy3"/>
    <dgm:cxn modelId="{7AEFE9D0-F741-491E-8D73-7650BF1620EA}" type="presParOf" srcId="{1965FC5D-D035-48D5-BED8-0F4BBD14D3D2}" destId="{D27F5FE0-88AF-4836-AB77-708C0691513E}" srcOrd="0" destOrd="0" presId="urn:microsoft.com/office/officeart/2005/8/layout/hierarchy3"/>
    <dgm:cxn modelId="{49E68334-D0FB-4946-9A33-F9FD521868CA}" type="presParOf" srcId="{D27F5FE0-88AF-4836-AB77-708C0691513E}" destId="{9EE7C0CA-A3DF-4305-AA48-8BCA06F4D83D}" srcOrd="0" destOrd="0" presId="urn:microsoft.com/office/officeart/2005/8/layout/hierarchy3"/>
    <dgm:cxn modelId="{C53367D4-4B4D-4081-9E1C-17747E3CD13C}" type="presParOf" srcId="{D27F5FE0-88AF-4836-AB77-708C0691513E}" destId="{4C407C47-EE79-4604-805D-6DE4A2B78AF5}" srcOrd="1" destOrd="0" presId="urn:microsoft.com/office/officeart/2005/8/layout/hierarchy3"/>
    <dgm:cxn modelId="{76975930-25E4-49F5-80B1-5A15EA59BF26}" type="presParOf" srcId="{1965FC5D-D035-48D5-BED8-0F4BBD14D3D2}" destId="{51DD7E5C-5C9E-4C45-8628-55FA7CE66742}" srcOrd="1" destOrd="0" presId="urn:microsoft.com/office/officeart/2005/8/layout/hierarchy3"/>
    <dgm:cxn modelId="{77264078-FF3F-4994-9620-472E0D916714}" type="presParOf" srcId="{51DD7E5C-5C9E-4C45-8628-55FA7CE66742}" destId="{1B735661-0B45-438B-87F9-9F6A5FFA73FC}" srcOrd="0" destOrd="0" presId="urn:microsoft.com/office/officeart/2005/8/layout/hierarchy3"/>
    <dgm:cxn modelId="{F85AE97D-C405-419B-9CCE-17A1ECC12520}" type="presParOf" srcId="{51DD7E5C-5C9E-4C45-8628-55FA7CE66742}" destId="{D6539467-96AD-4742-9EDD-C14FF4601569}" srcOrd="1" destOrd="0" presId="urn:microsoft.com/office/officeart/2005/8/layout/hierarchy3"/>
    <dgm:cxn modelId="{D8774B3E-223E-4213-A8BB-F679662AD411}" type="presParOf" srcId="{51DD7E5C-5C9E-4C45-8628-55FA7CE66742}" destId="{DEF01E25-5185-42DC-8261-310E13528110}" srcOrd="2" destOrd="0" presId="urn:microsoft.com/office/officeart/2005/8/layout/hierarchy3"/>
    <dgm:cxn modelId="{28216BE8-1D65-458B-8A38-1A327AAE4196}" type="presParOf" srcId="{51DD7E5C-5C9E-4C45-8628-55FA7CE66742}" destId="{5FFBC822-0006-4D87-A41A-9B7E8C0D0235}" srcOrd="3" destOrd="0" presId="urn:microsoft.com/office/officeart/2005/8/layout/hierarchy3"/>
    <dgm:cxn modelId="{9E598667-BB40-4C2D-A3E2-528BF0DCDA06}" type="presParOf" srcId="{51DD7E5C-5C9E-4C45-8628-55FA7CE66742}" destId="{CB14639A-619B-4C21-B93F-C502EBD9D5B8}" srcOrd="4" destOrd="0" presId="urn:microsoft.com/office/officeart/2005/8/layout/hierarchy3"/>
    <dgm:cxn modelId="{32323F9E-683C-4485-97D0-AB3DA6180264}" type="presParOf" srcId="{51DD7E5C-5C9E-4C45-8628-55FA7CE66742}" destId="{8CD5194E-13AE-42CF-94AA-A63D363E9916}" srcOrd="5" destOrd="0" presId="urn:microsoft.com/office/officeart/2005/8/layout/hierarchy3"/>
    <dgm:cxn modelId="{449C83E4-D6E1-4299-B362-322E262EA7CB}" type="presParOf" srcId="{51DD7E5C-5C9E-4C45-8628-55FA7CE66742}" destId="{9536E872-5754-48D0-8E91-BD536E1C94C6}" srcOrd="6" destOrd="0" presId="urn:microsoft.com/office/officeart/2005/8/layout/hierarchy3"/>
    <dgm:cxn modelId="{5804BE35-460C-4CB3-8670-562026577DA9}" type="presParOf" srcId="{51DD7E5C-5C9E-4C45-8628-55FA7CE66742}" destId="{252DB21E-E446-45EC-90B2-64A24CBBBD7E}" srcOrd="7" destOrd="0" presId="urn:microsoft.com/office/officeart/2005/8/layout/hierarchy3"/>
    <dgm:cxn modelId="{8E7ED701-19D2-4A2D-BE4F-40DBBE19C5FB}" type="presParOf" srcId="{08393B2E-9BF4-49A2-9972-ADDB71CC4F2B}" destId="{613E0356-AB1A-4B57-BEBC-2DE011B91C61}" srcOrd="3" destOrd="0" presId="urn:microsoft.com/office/officeart/2005/8/layout/hierarchy3"/>
    <dgm:cxn modelId="{B48A137D-14E4-456A-AF06-25E30262428E}" type="presParOf" srcId="{613E0356-AB1A-4B57-BEBC-2DE011B91C61}" destId="{63AAFC84-D78F-4417-A43A-F1C38581F5D3}" srcOrd="0" destOrd="0" presId="urn:microsoft.com/office/officeart/2005/8/layout/hierarchy3"/>
    <dgm:cxn modelId="{4E2375B5-2EE1-405E-A18E-384C797E8043}" type="presParOf" srcId="{63AAFC84-D78F-4417-A43A-F1C38581F5D3}" destId="{29F25F83-3D17-4BC3-A203-19B755C6295D}" srcOrd="0" destOrd="0" presId="urn:microsoft.com/office/officeart/2005/8/layout/hierarchy3"/>
    <dgm:cxn modelId="{5C79E244-54DD-4F87-9DCC-85C34C4C11D5}" type="presParOf" srcId="{63AAFC84-D78F-4417-A43A-F1C38581F5D3}" destId="{241F9B1B-7574-41E6-926B-6AF34061F44C}" srcOrd="1" destOrd="0" presId="urn:microsoft.com/office/officeart/2005/8/layout/hierarchy3"/>
    <dgm:cxn modelId="{0DA5DDFC-2BDA-4841-B231-2B4C5F037643}" type="presParOf" srcId="{613E0356-AB1A-4B57-BEBC-2DE011B91C61}" destId="{668E10CF-9660-4B6B-B971-5ECC9559EE11}" srcOrd="1" destOrd="0" presId="urn:microsoft.com/office/officeart/2005/8/layout/hierarchy3"/>
    <dgm:cxn modelId="{268F8A66-BF90-4DF2-8F94-F02002DE09DC}" type="presParOf" srcId="{668E10CF-9660-4B6B-B971-5ECC9559EE11}" destId="{74DF2546-2385-4AEF-97F6-832216439EAB}" srcOrd="0" destOrd="0" presId="urn:microsoft.com/office/officeart/2005/8/layout/hierarchy3"/>
    <dgm:cxn modelId="{8E415BAE-2A40-4EC6-9228-C6CBC81B54C1}" type="presParOf" srcId="{668E10CF-9660-4B6B-B971-5ECC9559EE11}" destId="{1C585FAB-B6C4-40EC-8E10-8D7A72204009}" srcOrd="1" destOrd="0" presId="urn:microsoft.com/office/officeart/2005/8/layout/hierarchy3"/>
    <dgm:cxn modelId="{183B1901-7308-49C9-8469-06FBFA567432}" type="presParOf" srcId="{668E10CF-9660-4B6B-B971-5ECC9559EE11}" destId="{D2BBC4E9-35BE-48DF-A605-AB9F71399752}" srcOrd="2" destOrd="0" presId="urn:microsoft.com/office/officeart/2005/8/layout/hierarchy3"/>
    <dgm:cxn modelId="{FCD8C6AF-8DE2-489C-92C6-69492148267B}" type="presParOf" srcId="{668E10CF-9660-4B6B-B971-5ECC9559EE11}" destId="{BD51E876-97D3-47E6-9EE5-90818097AF45}" srcOrd="3" destOrd="0" presId="urn:microsoft.com/office/officeart/2005/8/layout/hierarchy3"/>
    <dgm:cxn modelId="{F1BF651E-F338-49FA-A423-3042351E5318}" type="presParOf" srcId="{08393B2E-9BF4-49A2-9972-ADDB71CC4F2B}" destId="{3CD70B9F-1CBD-468F-815F-FE9F0CACC217}" srcOrd="4" destOrd="0" presId="urn:microsoft.com/office/officeart/2005/8/layout/hierarchy3"/>
    <dgm:cxn modelId="{83454A11-9661-4D88-99D0-DE54AD509B84}" type="presParOf" srcId="{3CD70B9F-1CBD-468F-815F-FE9F0CACC217}" destId="{46ADD48C-3918-4011-843F-CFF93088488D}" srcOrd="0" destOrd="0" presId="urn:microsoft.com/office/officeart/2005/8/layout/hierarchy3"/>
    <dgm:cxn modelId="{05505624-3548-462F-87C0-3D664FB1A7F8}" type="presParOf" srcId="{46ADD48C-3918-4011-843F-CFF93088488D}" destId="{3CFA71EB-6831-4419-9912-98BD5B89018F}" srcOrd="0" destOrd="0" presId="urn:microsoft.com/office/officeart/2005/8/layout/hierarchy3"/>
    <dgm:cxn modelId="{1D08B0DC-D086-4D1E-A2A7-496747CBDC28}" type="presParOf" srcId="{46ADD48C-3918-4011-843F-CFF93088488D}" destId="{F9B24B4A-65C9-4BCD-99A5-F7A267D56348}" srcOrd="1" destOrd="0" presId="urn:microsoft.com/office/officeart/2005/8/layout/hierarchy3"/>
    <dgm:cxn modelId="{8153C630-10FA-470F-B079-9FF98201E1A8}" type="presParOf" srcId="{3CD70B9F-1CBD-468F-815F-FE9F0CACC217}" destId="{8BAF5CFD-DAE2-420F-9842-E8A031BE66FB}" srcOrd="1" destOrd="0" presId="urn:microsoft.com/office/officeart/2005/8/layout/hierarchy3"/>
    <dgm:cxn modelId="{26CCB1E0-7985-4517-9016-FCC03F31A703}" type="presParOf" srcId="{8BAF5CFD-DAE2-420F-9842-E8A031BE66FB}" destId="{4D1D4742-47CA-4F1A-B5AA-400A3B7EC85F}" srcOrd="0" destOrd="0" presId="urn:microsoft.com/office/officeart/2005/8/layout/hierarchy3"/>
    <dgm:cxn modelId="{C2201FFE-4400-4D8C-BEDE-D4F2AC6C9473}" type="presParOf" srcId="{8BAF5CFD-DAE2-420F-9842-E8A031BE66FB}" destId="{5442D475-A791-4146-BB80-C09438E376D6}" srcOrd="1" destOrd="0" presId="urn:microsoft.com/office/officeart/2005/8/layout/hierarchy3"/>
    <dgm:cxn modelId="{307612BA-02E1-4340-8E60-20849DA9B769}" type="presParOf" srcId="{8BAF5CFD-DAE2-420F-9842-E8A031BE66FB}" destId="{15EBEA95-F15F-486D-A49B-52AD1A3C02E9}" srcOrd="2" destOrd="0" presId="urn:microsoft.com/office/officeart/2005/8/layout/hierarchy3"/>
    <dgm:cxn modelId="{6EAF51B5-C1C9-4B8E-BFA4-F9FB9CA57D70}" type="presParOf" srcId="{8BAF5CFD-DAE2-420F-9842-E8A031BE66FB}" destId="{1D1210CB-4529-44B5-9FB1-7567C5E8EBED}" srcOrd="3" destOrd="0" presId="urn:microsoft.com/office/officeart/2005/8/layout/hierarchy3"/>
    <dgm:cxn modelId="{78087779-FABE-4D07-B104-5907609829FD}" type="presParOf" srcId="{8BAF5CFD-DAE2-420F-9842-E8A031BE66FB}" destId="{06B02209-E662-41E8-882D-CA4E867ACA4B}" srcOrd="4" destOrd="0" presId="urn:microsoft.com/office/officeart/2005/8/layout/hierarchy3"/>
    <dgm:cxn modelId="{85DFBDDE-4560-49AD-A695-CB5EC17C55F1}" type="presParOf" srcId="{8BAF5CFD-DAE2-420F-9842-E8A031BE66FB}" destId="{A2C9BAB8-0DF9-45C9-A9D4-E05E222FCD39}" srcOrd="5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26E41BE-4754-47F8-A827-BBC37D251A0F}" type="doc">
      <dgm:prSet loTypeId="urn:microsoft.com/office/officeart/2005/8/layout/hierarchy3" loCatId="hierarchy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n-US"/>
        </a:p>
      </dgm:t>
    </dgm:pt>
    <dgm:pt modelId="{9C451123-527E-4107-B6F1-1AA8E171AB87}">
      <dgm:prSet/>
      <dgm:spPr/>
      <dgm:t>
        <a:bodyPr/>
        <a:lstStyle/>
        <a:p>
          <a:r>
            <a:rPr lang="en-US"/>
            <a:t>Anderson, Vic</a:t>
          </a:r>
        </a:p>
      </dgm:t>
    </dgm:pt>
    <dgm:pt modelId="{0DB07CC7-217B-4BC2-B0B3-5A07EFB780CF}" type="parTrans" cxnId="{DBA8E403-B68F-4E42-9122-2217FD49C231}">
      <dgm:prSet/>
      <dgm:spPr/>
      <dgm:t>
        <a:bodyPr/>
        <a:lstStyle/>
        <a:p>
          <a:endParaRPr lang="en-US"/>
        </a:p>
      </dgm:t>
    </dgm:pt>
    <dgm:pt modelId="{F453BBAA-F028-4172-8B45-9C0C2BE746A9}" type="sibTrans" cxnId="{DBA8E403-B68F-4E42-9122-2217FD49C231}">
      <dgm:prSet/>
      <dgm:spPr/>
      <dgm:t>
        <a:bodyPr/>
        <a:lstStyle/>
        <a:p>
          <a:endParaRPr lang="en-US"/>
        </a:p>
      </dgm:t>
    </dgm:pt>
    <dgm:pt modelId="{4AD68944-C1C5-42AA-84BC-C72222A3E4B8}">
      <dgm:prSet/>
      <dgm:spPr>
        <a:ln w="25400" cmpd="dbl">
          <a:prstDash val="dash"/>
        </a:ln>
      </dgm:spPr>
      <dgm:t>
        <a:bodyPr/>
        <a:lstStyle/>
        <a:p>
          <a:r>
            <a:rPr lang="en-US"/>
            <a:t>Bateman, Brandon    Senior, SW Engineer</a:t>
          </a:r>
        </a:p>
      </dgm:t>
    </dgm:pt>
    <dgm:pt modelId="{3B59CA56-1B18-4ED6-AA08-35CEEF3DEE62}" type="parTrans" cxnId="{2D0EEEF9-AC5D-47F9-AFF3-C9A15AB4D2B2}">
      <dgm:prSet/>
      <dgm:spPr/>
      <dgm:t>
        <a:bodyPr/>
        <a:lstStyle/>
        <a:p>
          <a:endParaRPr lang="en-US"/>
        </a:p>
      </dgm:t>
    </dgm:pt>
    <dgm:pt modelId="{D4A1ED24-ECB8-404E-932C-AD895507BF73}" type="sibTrans" cxnId="{2D0EEEF9-AC5D-47F9-AFF3-C9A15AB4D2B2}">
      <dgm:prSet/>
      <dgm:spPr/>
      <dgm:t>
        <a:bodyPr/>
        <a:lstStyle/>
        <a:p>
          <a:endParaRPr lang="en-US"/>
        </a:p>
      </dgm:t>
    </dgm:pt>
    <dgm:pt modelId="{AD653B30-F7CA-4FA3-B190-55C86475A69B}">
      <dgm:prSet/>
      <dgm:spPr/>
      <dgm:t>
        <a:bodyPr/>
        <a:lstStyle/>
        <a:p>
          <a:r>
            <a:rPr lang="en-US"/>
            <a:t>Bryant, Alan    Specialist, SW Engineer</a:t>
          </a:r>
        </a:p>
      </dgm:t>
    </dgm:pt>
    <dgm:pt modelId="{3AF9EF6A-40A3-4772-BED2-15C9CA54C500}" type="parTrans" cxnId="{CC11DDB3-6613-4FF9-8DAA-86A5C15A24B4}">
      <dgm:prSet/>
      <dgm:spPr/>
      <dgm:t>
        <a:bodyPr/>
        <a:lstStyle/>
        <a:p>
          <a:endParaRPr lang="en-US"/>
        </a:p>
      </dgm:t>
    </dgm:pt>
    <dgm:pt modelId="{FD7C4751-749B-4C31-BE00-7769A8DC6170}" type="sibTrans" cxnId="{CC11DDB3-6613-4FF9-8DAA-86A5C15A24B4}">
      <dgm:prSet/>
      <dgm:spPr/>
      <dgm:t>
        <a:bodyPr/>
        <a:lstStyle/>
        <a:p>
          <a:endParaRPr lang="en-US"/>
        </a:p>
      </dgm:t>
    </dgm:pt>
    <dgm:pt modelId="{E97EFC66-2490-47D5-B913-6B93BFCC4350}">
      <dgm:prSet/>
      <dgm:spPr>
        <a:ln w="31750" cmpd="dbl"/>
      </dgm:spPr>
      <dgm:t>
        <a:bodyPr/>
        <a:lstStyle/>
        <a:p>
          <a:r>
            <a:rPr lang="en-US"/>
            <a:t>Kohli, Nishant    Director, Engineering</a:t>
          </a:r>
        </a:p>
      </dgm:t>
    </dgm:pt>
    <dgm:pt modelId="{C5858850-D638-44C1-8D22-3F275C640E8D}" type="parTrans" cxnId="{C4891EB8-73FB-4727-80BD-E7A51377BDE1}">
      <dgm:prSet/>
      <dgm:spPr/>
      <dgm:t>
        <a:bodyPr/>
        <a:lstStyle/>
        <a:p>
          <a:endParaRPr lang="en-US"/>
        </a:p>
      </dgm:t>
    </dgm:pt>
    <dgm:pt modelId="{860D9298-495F-45AC-B4C8-7AA0556CA285}" type="sibTrans" cxnId="{C4891EB8-73FB-4727-80BD-E7A51377BDE1}">
      <dgm:prSet/>
      <dgm:spPr/>
      <dgm:t>
        <a:bodyPr/>
        <a:lstStyle/>
        <a:p>
          <a:endParaRPr lang="en-US"/>
        </a:p>
      </dgm:t>
    </dgm:pt>
    <dgm:pt modelId="{EFFAE782-446C-481D-8962-C2D5A068A60E}">
      <dgm:prSet/>
      <dgm:spPr>
        <a:ln w="31750" cmpd="dbl"/>
      </dgm:spPr>
      <dgm:t>
        <a:bodyPr/>
        <a:lstStyle/>
        <a:p>
          <a:r>
            <a:rPr lang="en-US"/>
            <a:t>Liang, Candy    Senior Manager, Engineering</a:t>
          </a:r>
        </a:p>
      </dgm:t>
    </dgm:pt>
    <dgm:pt modelId="{CAD399B2-9D81-4DFA-8EB4-91500913E0AE}" type="parTrans" cxnId="{3B1A1721-B9AA-483C-958D-66CADDDEBDEC}">
      <dgm:prSet/>
      <dgm:spPr/>
      <dgm:t>
        <a:bodyPr/>
        <a:lstStyle/>
        <a:p>
          <a:endParaRPr lang="en-US"/>
        </a:p>
      </dgm:t>
    </dgm:pt>
    <dgm:pt modelId="{74A76999-81D3-4A90-A98C-BF377DF6E5B9}" type="sibTrans" cxnId="{3B1A1721-B9AA-483C-958D-66CADDDEBDEC}">
      <dgm:prSet/>
      <dgm:spPr/>
      <dgm:t>
        <a:bodyPr/>
        <a:lstStyle/>
        <a:p>
          <a:endParaRPr lang="en-US"/>
        </a:p>
      </dgm:t>
    </dgm:pt>
    <dgm:pt modelId="{6ED38035-E064-4876-911B-DF2B1DD7759A}">
      <dgm:prSet/>
      <dgm:spPr/>
      <dgm:t>
        <a:bodyPr/>
        <a:lstStyle/>
        <a:p>
          <a:r>
            <a:rPr lang="en-US"/>
            <a:t>Persons, Mark    Master, SWQA Engineer</a:t>
          </a:r>
        </a:p>
      </dgm:t>
    </dgm:pt>
    <dgm:pt modelId="{65CC8946-E5D8-40CD-8953-BA95D427BA98}" type="parTrans" cxnId="{A88F65FC-A9E5-4467-990F-A670A3C59770}">
      <dgm:prSet/>
      <dgm:spPr/>
      <dgm:t>
        <a:bodyPr/>
        <a:lstStyle/>
        <a:p>
          <a:endParaRPr lang="en-US"/>
        </a:p>
      </dgm:t>
    </dgm:pt>
    <dgm:pt modelId="{763D9A91-60E6-448F-B965-501506ACDA01}" type="sibTrans" cxnId="{A88F65FC-A9E5-4467-990F-A670A3C59770}">
      <dgm:prSet/>
      <dgm:spPr/>
      <dgm:t>
        <a:bodyPr/>
        <a:lstStyle/>
        <a:p>
          <a:endParaRPr lang="en-US"/>
        </a:p>
      </dgm:t>
    </dgm:pt>
    <dgm:pt modelId="{1253B96C-DDFE-4160-9DF8-BA961DFD0BAB}">
      <dgm:prSet/>
      <dgm:spPr>
        <a:ln w="31750" cmpd="dbl"/>
      </dgm:spPr>
      <dgm:t>
        <a:bodyPr/>
        <a:lstStyle/>
        <a:p>
          <a:r>
            <a:rPr lang="en-US"/>
            <a:t>Pfahl, Matt    Senior, SW Engineer</a:t>
          </a:r>
        </a:p>
      </dgm:t>
    </dgm:pt>
    <dgm:pt modelId="{401546A4-099F-4542-A53C-DD3F622B4554}" type="parTrans" cxnId="{0EA1EE14-3D26-445F-A49B-43DA9116DFAB}">
      <dgm:prSet/>
      <dgm:spPr/>
      <dgm:t>
        <a:bodyPr/>
        <a:lstStyle/>
        <a:p>
          <a:endParaRPr lang="en-US"/>
        </a:p>
      </dgm:t>
    </dgm:pt>
    <dgm:pt modelId="{040DD942-6942-41D1-982D-8FB9CD854AAA}" type="sibTrans" cxnId="{0EA1EE14-3D26-445F-A49B-43DA9116DFAB}">
      <dgm:prSet/>
      <dgm:spPr/>
      <dgm:t>
        <a:bodyPr/>
        <a:lstStyle/>
        <a:p>
          <a:endParaRPr lang="en-US"/>
        </a:p>
      </dgm:t>
    </dgm:pt>
    <dgm:pt modelId="{A3B90DE9-F0BD-4A4B-863B-5E37D634AAB2}">
      <dgm:prSet/>
      <dgm:spPr>
        <a:ln w="25400" cmpd="dbl">
          <a:prstDash val="dash"/>
        </a:ln>
      </dgm:spPr>
      <dgm:t>
        <a:bodyPr/>
        <a:lstStyle/>
        <a:p>
          <a:r>
            <a:rPr lang="en-US"/>
            <a:t>Prochniak, Stephen    Specialist, SW Engineer</a:t>
          </a:r>
        </a:p>
      </dgm:t>
    </dgm:pt>
    <dgm:pt modelId="{D8654678-09C6-4E4F-8F33-30B494071DA8}" type="parTrans" cxnId="{ACE62EB6-B2AB-459A-BCA6-A090EA4B2D86}">
      <dgm:prSet/>
      <dgm:spPr/>
      <dgm:t>
        <a:bodyPr/>
        <a:lstStyle/>
        <a:p>
          <a:endParaRPr lang="en-US"/>
        </a:p>
      </dgm:t>
    </dgm:pt>
    <dgm:pt modelId="{CD14453B-E822-4A34-AA51-8FA15EE05A18}" type="sibTrans" cxnId="{ACE62EB6-B2AB-459A-BCA6-A090EA4B2D86}">
      <dgm:prSet/>
      <dgm:spPr/>
      <dgm:t>
        <a:bodyPr/>
        <a:lstStyle/>
        <a:p>
          <a:endParaRPr lang="en-US"/>
        </a:p>
      </dgm:t>
    </dgm:pt>
    <dgm:pt modelId="{69479F0F-604D-4946-AA95-6B15C1659DE1}">
      <dgm:prSet/>
      <dgm:spPr/>
      <dgm:t>
        <a:bodyPr/>
        <a:lstStyle/>
        <a:p>
          <a:r>
            <a:rPr lang="en-US"/>
            <a:t>Tirado, Beth    Specialist, SW Engineer</a:t>
          </a:r>
        </a:p>
      </dgm:t>
    </dgm:pt>
    <dgm:pt modelId="{0DD9E40F-1942-4448-8FBE-AF0A7D5F6683}" type="parTrans" cxnId="{7BE92622-292D-4BF2-B564-D0E46CD50C94}">
      <dgm:prSet/>
      <dgm:spPr/>
      <dgm:t>
        <a:bodyPr/>
        <a:lstStyle/>
        <a:p>
          <a:endParaRPr lang="en-US"/>
        </a:p>
      </dgm:t>
    </dgm:pt>
    <dgm:pt modelId="{FF46B2A3-90A8-412F-A486-B5FCBA1EF945}" type="sibTrans" cxnId="{7BE92622-292D-4BF2-B564-D0E46CD50C94}">
      <dgm:prSet/>
      <dgm:spPr/>
      <dgm:t>
        <a:bodyPr/>
        <a:lstStyle/>
        <a:p>
          <a:endParaRPr lang="en-US"/>
        </a:p>
      </dgm:t>
    </dgm:pt>
    <dgm:pt modelId="{9504B6B4-DDAD-4AB1-9CA3-B46CB2A69EC6}">
      <dgm:prSet/>
      <dgm:spPr/>
      <dgm:t>
        <a:bodyPr/>
        <a:lstStyle/>
        <a:p>
          <a:r>
            <a:rPr lang="en-US"/>
            <a:t>Wilder, Hank    Specialist, SWQA Engineer</a:t>
          </a:r>
        </a:p>
      </dgm:t>
    </dgm:pt>
    <dgm:pt modelId="{FD4ADFCF-C137-4A9E-8B8B-6644456E56A1}" type="parTrans" cxnId="{EEC5910D-2EFA-4562-864A-66BD62409403}">
      <dgm:prSet/>
      <dgm:spPr/>
      <dgm:t>
        <a:bodyPr/>
        <a:lstStyle/>
        <a:p>
          <a:endParaRPr lang="en-US"/>
        </a:p>
      </dgm:t>
    </dgm:pt>
    <dgm:pt modelId="{FDB660C9-0DD5-4789-8939-29AB054BA055}" type="sibTrans" cxnId="{EEC5910D-2EFA-4562-864A-66BD62409403}">
      <dgm:prSet/>
      <dgm:spPr/>
      <dgm:t>
        <a:bodyPr/>
        <a:lstStyle/>
        <a:p>
          <a:endParaRPr lang="en-US"/>
        </a:p>
      </dgm:t>
    </dgm:pt>
    <dgm:pt modelId="{4D5F6063-6740-4B19-8760-1B1FF22EC239}">
      <dgm:prSet/>
      <dgm:spPr/>
      <dgm:t>
        <a:bodyPr/>
        <a:lstStyle/>
        <a:p>
          <a:r>
            <a:rPr lang="en-US"/>
            <a:t>Burnham, John</a:t>
          </a:r>
        </a:p>
      </dgm:t>
    </dgm:pt>
    <dgm:pt modelId="{8DE52097-18D2-444E-85ED-8CD6F5B90628}" type="parTrans" cxnId="{6FD8B305-70D1-4EEA-B5EB-B013003F90C6}">
      <dgm:prSet/>
      <dgm:spPr/>
      <dgm:t>
        <a:bodyPr/>
        <a:lstStyle/>
        <a:p>
          <a:endParaRPr lang="en-US"/>
        </a:p>
      </dgm:t>
    </dgm:pt>
    <dgm:pt modelId="{A235FFB2-2E7C-4D6A-8C9B-E56DBA00FAD7}" type="sibTrans" cxnId="{6FD8B305-70D1-4EEA-B5EB-B013003F90C6}">
      <dgm:prSet/>
      <dgm:spPr/>
      <dgm:t>
        <a:bodyPr/>
        <a:lstStyle/>
        <a:p>
          <a:endParaRPr lang="en-US"/>
        </a:p>
      </dgm:t>
    </dgm:pt>
    <dgm:pt modelId="{D066FF6B-FA91-49B1-A0D1-337F57DB7CEA}">
      <dgm:prSet/>
      <dgm:spPr>
        <a:ln>
          <a:prstDash val="dash"/>
        </a:ln>
      </dgm:spPr>
      <dgm:t>
        <a:bodyPr/>
        <a:lstStyle/>
        <a:p>
          <a:r>
            <a:rPr lang="en-US"/>
            <a:t>Almonte, Brendan    Software Engineer</a:t>
          </a:r>
        </a:p>
      </dgm:t>
    </dgm:pt>
    <dgm:pt modelId="{B06EEAC7-2679-41F6-88D4-5EF5D94B4A8C}" type="parTrans" cxnId="{BB34BCBA-900E-47CE-AF1B-20EEA9F0634D}">
      <dgm:prSet/>
      <dgm:spPr/>
      <dgm:t>
        <a:bodyPr/>
        <a:lstStyle/>
        <a:p>
          <a:endParaRPr lang="en-US"/>
        </a:p>
      </dgm:t>
    </dgm:pt>
    <dgm:pt modelId="{24F07EEF-5A33-40CC-B69E-95648D839DFA}" type="sibTrans" cxnId="{BB34BCBA-900E-47CE-AF1B-20EEA9F0634D}">
      <dgm:prSet/>
      <dgm:spPr/>
      <dgm:t>
        <a:bodyPr/>
        <a:lstStyle/>
        <a:p>
          <a:endParaRPr lang="en-US"/>
        </a:p>
      </dgm:t>
    </dgm:pt>
    <dgm:pt modelId="{F918369B-5BCE-4871-951B-D3798E267777}">
      <dgm:prSet/>
      <dgm:spPr/>
      <dgm:t>
        <a:bodyPr/>
        <a:lstStyle/>
        <a:p>
          <a:r>
            <a:rPr lang="en-US"/>
            <a:t>Apte, Sameer    Specialist, SW Engineer</a:t>
          </a:r>
        </a:p>
      </dgm:t>
    </dgm:pt>
    <dgm:pt modelId="{CDEDE2BA-D018-4405-9C34-FAABB00F2F01}" type="parTrans" cxnId="{1E00044E-A0CC-4A08-940E-935B35D71A18}">
      <dgm:prSet/>
      <dgm:spPr/>
      <dgm:t>
        <a:bodyPr/>
        <a:lstStyle/>
        <a:p>
          <a:endParaRPr lang="en-US"/>
        </a:p>
      </dgm:t>
    </dgm:pt>
    <dgm:pt modelId="{ACC8B129-61A4-4A93-9B83-EF66F89B4CEC}" type="sibTrans" cxnId="{1E00044E-A0CC-4A08-940E-935B35D71A18}">
      <dgm:prSet/>
      <dgm:spPr/>
      <dgm:t>
        <a:bodyPr/>
        <a:lstStyle/>
        <a:p>
          <a:endParaRPr lang="en-US"/>
        </a:p>
      </dgm:t>
    </dgm:pt>
    <dgm:pt modelId="{D554594B-919A-459A-B026-8131C994B0BB}">
      <dgm:prSet/>
      <dgm:spPr/>
      <dgm:t>
        <a:bodyPr/>
        <a:lstStyle/>
        <a:p>
          <a:r>
            <a:rPr lang="en-US"/>
            <a:t>Chang, Albert    Software Engineer</a:t>
          </a:r>
        </a:p>
      </dgm:t>
    </dgm:pt>
    <dgm:pt modelId="{1C0466E1-1A1C-4E29-9FFA-46C52D359124}" type="parTrans" cxnId="{4BEA0336-D3BF-41AB-9607-9937889E7B23}">
      <dgm:prSet/>
      <dgm:spPr/>
      <dgm:t>
        <a:bodyPr/>
        <a:lstStyle/>
        <a:p>
          <a:endParaRPr lang="en-US"/>
        </a:p>
      </dgm:t>
    </dgm:pt>
    <dgm:pt modelId="{FB606BCB-6B88-4889-8549-743016A24333}" type="sibTrans" cxnId="{4BEA0336-D3BF-41AB-9607-9937889E7B23}">
      <dgm:prSet/>
      <dgm:spPr/>
      <dgm:t>
        <a:bodyPr/>
        <a:lstStyle/>
        <a:p>
          <a:endParaRPr lang="en-US"/>
        </a:p>
      </dgm:t>
    </dgm:pt>
    <dgm:pt modelId="{F424D584-F615-4491-8634-2300C420E9BE}">
      <dgm:prSet/>
      <dgm:spPr/>
      <dgm:t>
        <a:bodyPr/>
        <a:lstStyle/>
        <a:p>
          <a:r>
            <a:rPr lang="en-US"/>
            <a:t>Jiang, Sean    Specialist, SW Engineer</a:t>
          </a:r>
        </a:p>
      </dgm:t>
    </dgm:pt>
    <dgm:pt modelId="{5EC466CF-51A7-4533-969E-29F63EBFC63F}" type="parTrans" cxnId="{0E90F63E-8808-4C3F-9669-5398BE003669}">
      <dgm:prSet/>
      <dgm:spPr/>
      <dgm:t>
        <a:bodyPr/>
        <a:lstStyle/>
        <a:p>
          <a:endParaRPr lang="en-US"/>
        </a:p>
      </dgm:t>
    </dgm:pt>
    <dgm:pt modelId="{8444A307-E811-4CEE-AA8C-6E0524C07AC2}" type="sibTrans" cxnId="{0E90F63E-8808-4C3F-9669-5398BE003669}">
      <dgm:prSet/>
      <dgm:spPr/>
      <dgm:t>
        <a:bodyPr/>
        <a:lstStyle/>
        <a:p>
          <a:endParaRPr lang="en-US"/>
        </a:p>
      </dgm:t>
    </dgm:pt>
    <dgm:pt modelId="{7B3F7E08-9193-41EA-952C-E79BD4AD865E}">
      <dgm:prSet/>
      <dgm:spPr/>
      <dgm:t>
        <a:bodyPr/>
        <a:lstStyle/>
        <a:p>
          <a:r>
            <a:rPr lang="en-US"/>
            <a:t>Strand, Eric    Specialist, SW Engineer</a:t>
          </a:r>
        </a:p>
      </dgm:t>
    </dgm:pt>
    <dgm:pt modelId="{AE3D3918-85D2-4890-865F-398CDB1045D0}" type="parTrans" cxnId="{5A2712A7-C76A-4F7B-B007-87D53725408B}">
      <dgm:prSet/>
      <dgm:spPr/>
      <dgm:t>
        <a:bodyPr/>
        <a:lstStyle/>
        <a:p>
          <a:endParaRPr lang="en-US"/>
        </a:p>
      </dgm:t>
    </dgm:pt>
    <dgm:pt modelId="{B841CB77-51C6-4209-9B17-8C1F2AD4C01A}" type="sibTrans" cxnId="{5A2712A7-C76A-4F7B-B007-87D53725408B}">
      <dgm:prSet/>
      <dgm:spPr/>
      <dgm:t>
        <a:bodyPr/>
        <a:lstStyle/>
        <a:p>
          <a:endParaRPr lang="en-US"/>
        </a:p>
      </dgm:t>
    </dgm:pt>
    <dgm:pt modelId="{D4B407F5-486D-4B7A-A472-04A31EE0FADD}">
      <dgm:prSet/>
      <dgm:spPr/>
      <dgm:t>
        <a:bodyPr/>
        <a:lstStyle/>
        <a:p>
          <a:r>
            <a:rPr lang="en-US"/>
            <a:t>Todd, Andrew    Senior, SW Engineer</a:t>
          </a:r>
        </a:p>
      </dgm:t>
    </dgm:pt>
    <dgm:pt modelId="{7C0702BD-C077-440A-BD28-34943EED0574}" type="parTrans" cxnId="{888AFB23-C9B4-454D-95D5-C7E3EEAB8506}">
      <dgm:prSet/>
      <dgm:spPr/>
      <dgm:t>
        <a:bodyPr/>
        <a:lstStyle/>
        <a:p>
          <a:endParaRPr lang="en-US"/>
        </a:p>
      </dgm:t>
    </dgm:pt>
    <dgm:pt modelId="{063CD91F-F208-4D64-AE6E-818F0EA3D3C1}" type="sibTrans" cxnId="{888AFB23-C9B4-454D-95D5-C7E3EEAB8506}">
      <dgm:prSet/>
      <dgm:spPr/>
      <dgm:t>
        <a:bodyPr/>
        <a:lstStyle/>
        <a:p>
          <a:endParaRPr lang="en-US"/>
        </a:p>
      </dgm:t>
    </dgm:pt>
    <dgm:pt modelId="{84F73700-D86C-400F-A1C7-02F05EA7D591}">
      <dgm:prSet/>
      <dgm:spPr/>
      <dgm:t>
        <a:bodyPr/>
        <a:lstStyle/>
        <a:p>
          <a:r>
            <a:rPr lang="en-US"/>
            <a:t>Truong, Ngale    Senior, SW Engineer</a:t>
          </a:r>
        </a:p>
      </dgm:t>
    </dgm:pt>
    <dgm:pt modelId="{A766959D-58FB-4262-A068-3E489C710311}" type="parTrans" cxnId="{27B28BA8-FDC4-45A7-8260-533F18A95160}">
      <dgm:prSet/>
      <dgm:spPr/>
      <dgm:t>
        <a:bodyPr/>
        <a:lstStyle/>
        <a:p>
          <a:endParaRPr lang="en-US"/>
        </a:p>
      </dgm:t>
    </dgm:pt>
    <dgm:pt modelId="{99E97113-B578-4260-9F55-104C4484F224}" type="sibTrans" cxnId="{27B28BA8-FDC4-45A7-8260-533F18A95160}">
      <dgm:prSet/>
      <dgm:spPr/>
      <dgm:t>
        <a:bodyPr/>
        <a:lstStyle/>
        <a:p>
          <a:endParaRPr lang="en-US"/>
        </a:p>
      </dgm:t>
    </dgm:pt>
    <dgm:pt modelId="{9E91244B-394B-4282-B1B9-5397BB35FD94}">
      <dgm:prSet/>
      <dgm:spPr/>
      <dgm:t>
        <a:bodyPr/>
        <a:lstStyle/>
        <a:p>
          <a:r>
            <a:rPr lang="en-US"/>
            <a:t>Chestna, Wayne</a:t>
          </a:r>
        </a:p>
      </dgm:t>
    </dgm:pt>
    <dgm:pt modelId="{DB412376-E16F-4671-8425-FE6757BF72E3}" type="parTrans" cxnId="{7983BC12-8DC9-4BBE-998A-E6A29C789593}">
      <dgm:prSet/>
      <dgm:spPr/>
      <dgm:t>
        <a:bodyPr/>
        <a:lstStyle/>
        <a:p>
          <a:endParaRPr lang="en-US"/>
        </a:p>
      </dgm:t>
    </dgm:pt>
    <dgm:pt modelId="{E7933F0D-2BC7-4202-A150-66B1AD92382A}" type="sibTrans" cxnId="{7983BC12-8DC9-4BBE-998A-E6A29C789593}">
      <dgm:prSet/>
      <dgm:spPr/>
      <dgm:t>
        <a:bodyPr/>
        <a:lstStyle/>
        <a:p>
          <a:endParaRPr lang="en-US"/>
        </a:p>
      </dgm:t>
    </dgm:pt>
    <dgm:pt modelId="{F32D0024-841D-4CF3-B5CB-3AC28252AE03}">
      <dgm:prSet/>
      <dgm:spPr>
        <a:ln>
          <a:prstDash val="dash"/>
        </a:ln>
      </dgm:spPr>
      <dgm:t>
        <a:bodyPr/>
        <a:lstStyle/>
        <a:p>
          <a:r>
            <a:rPr lang="en-US"/>
            <a:t>Gallerani, Steve    Senior, SWQA Engineer</a:t>
          </a:r>
        </a:p>
      </dgm:t>
    </dgm:pt>
    <dgm:pt modelId="{0FBEF303-051B-4399-B536-5B3E42B2C063}" type="parTrans" cxnId="{EBE20D05-DF06-4260-863A-10572795DF3B}">
      <dgm:prSet/>
      <dgm:spPr/>
      <dgm:t>
        <a:bodyPr/>
        <a:lstStyle/>
        <a:p>
          <a:endParaRPr lang="en-US"/>
        </a:p>
      </dgm:t>
    </dgm:pt>
    <dgm:pt modelId="{2BC6D81B-1BB3-48E0-B668-64DB43E527EB}" type="sibTrans" cxnId="{EBE20D05-DF06-4260-863A-10572795DF3B}">
      <dgm:prSet/>
      <dgm:spPr/>
      <dgm:t>
        <a:bodyPr/>
        <a:lstStyle/>
        <a:p>
          <a:endParaRPr lang="en-US"/>
        </a:p>
      </dgm:t>
    </dgm:pt>
    <dgm:pt modelId="{6EBB9998-2943-4054-8B5A-F3C929870EC9}">
      <dgm:prSet/>
      <dgm:spPr/>
      <dgm:t>
        <a:bodyPr/>
        <a:lstStyle/>
        <a:p>
          <a:r>
            <a:rPr lang="en-US"/>
            <a:t>Giddings, Robert    Specialist, SWQA Engineer</a:t>
          </a:r>
        </a:p>
      </dgm:t>
    </dgm:pt>
    <dgm:pt modelId="{9A7C9913-0801-4137-82B4-FCBDF466B336}" type="parTrans" cxnId="{36A65FB8-01D9-4160-96A0-5C879D1DA04C}">
      <dgm:prSet/>
      <dgm:spPr/>
      <dgm:t>
        <a:bodyPr/>
        <a:lstStyle/>
        <a:p>
          <a:endParaRPr lang="en-US"/>
        </a:p>
      </dgm:t>
    </dgm:pt>
    <dgm:pt modelId="{04C6885D-4049-499E-AA81-23866D490D34}" type="sibTrans" cxnId="{36A65FB8-01D9-4160-96A0-5C879D1DA04C}">
      <dgm:prSet/>
      <dgm:spPr/>
      <dgm:t>
        <a:bodyPr/>
        <a:lstStyle/>
        <a:p>
          <a:endParaRPr lang="en-US"/>
        </a:p>
      </dgm:t>
    </dgm:pt>
    <dgm:pt modelId="{1F93073F-A891-4081-B936-134E3E38E97B}">
      <dgm:prSet/>
      <dgm:spPr/>
      <dgm:t>
        <a:bodyPr/>
        <a:lstStyle/>
        <a:p>
          <a:r>
            <a:rPr lang="en-US"/>
            <a:t>Mau, Manet    Specialist, SW Engineer</a:t>
          </a:r>
        </a:p>
      </dgm:t>
    </dgm:pt>
    <dgm:pt modelId="{3ABC58F0-18B0-410B-BB69-F8AB34AD54D6}" type="parTrans" cxnId="{C2BB5E2B-8679-4EA0-B044-16030F2D179C}">
      <dgm:prSet/>
      <dgm:spPr/>
      <dgm:t>
        <a:bodyPr/>
        <a:lstStyle/>
        <a:p>
          <a:endParaRPr lang="en-US"/>
        </a:p>
      </dgm:t>
    </dgm:pt>
    <dgm:pt modelId="{11B3ABAE-D2FA-4ED7-87CA-D40B470D69C5}" type="sibTrans" cxnId="{C2BB5E2B-8679-4EA0-B044-16030F2D179C}">
      <dgm:prSet/>
      <dgm:spPr/>
      <dgm:t>
        <a:bodyPr/>
        <a:lstStyle/>
        <a:p>
          <a:endParaRPr lang="en-US"/>
        </a:p>
      </dgm:t>
    </dgm:pt>
    <dgm:pt modelId="{C8D04788-7D53-4117-AC36-C3D8B280F7A9}">
      <dgm:prSet/>
      <dgm:spPr/>
      <dgm:t>
        <a:bodyPr/>
        <a:lstStyle/>
        <a:p>
          <a:r>
            <a:rPr lang="en-US"/>
            <a:t>Robinson, Sean    Software Engineer</a:t>
          </a:r>
        </a:p>
      </dgm:t>
    </dgm:pt>
    <dgm:pt modelId="{3E6B1AF7-9B8E-4B2C-8375-9C760935F6C3}" type="parTrans" cxnId="{A09D23CA-6F6C-4BE0-B22A-98D1F296B840}">
      <dgm:prSet/>
      <dgm:spPr/>
      <dgm:t>
        <a:bodyPr/>
        <a:lstStyle/>
        <a:p>
          <a:endParaRPr lang="en-US"/>
        </a:p>
      </dgm:t>
    </dgm:pt>
    <dgm:pt modelId="{E42B238B-8F86-45B4-BD6F-F6A2AAB35EF8}" type="sibTrans" cxnId="{A09D23CA-6F6C-4BE0-B22A-98D1F296B840}">
      <dgm:prSet/>
      <dgm:spPr/>
      <dgm:t>
        <a:bodyPr/>
        <a:lstStyle/>
        <a:p>
          <a:endParaRPr lang="en-US"/>
        </a:p>
      </dgm:t>
    </dgm:pt>
    <dgm:pt modelId="{2B98C6EE-C0F4-4F92-9117-BEECC692FE7B}">
      <dgm:prSet/>
      <dgm:spPr/>
      <dgm:t>
        <a:bodyPr/>
        <a:lstStyle/>
        <a:p>
          <a:r>
            <a:rPr lang="en-US"/>
            <a:t>Wilson, Emily    Associate, SWQA Engineer</a:t>
          </a:r>
        </a:p>
      </dgm:t>
    </dgm:pt>
    <dgm:pt modelId="{CDA0107E-9289-46DB-8871-95556161102C}" type="parTrans" cxnId="{6ED0A7DB-05F5-449B-8EB5-058AADD709C5}">
      <dgm:prSet/>
      <dgm:spPr/>
      <dgm:t>
        <a:bodyPr/>
        <a:lstStyle/>
        <a:p>
          <a:endParaRPr lang="en-US"/>
        </a:p>
      </dgm:t>
    </dgm:pt>
    <dgm:pt modelId="{EE229D7D-CBD5-47A3-A46F-FBA588EFDA64}" type="sibTrans" cxnId="{6ED0A7DB-05F5-449B-8EB5-058AADD709C5}">
      <dgm:prSet/>
      <dgm:spPr/>
      <dgm:t>
        <a:bodyPr/>
        <a:lstStyle/>
        <a:p>
          <a:endParaRPr lang="en-US"/>
        </a:p>
      </dgm:t>
    </dgm:pt>
    <dgm:pt modelId="{0AA128CA-68C7-43B2-8254-E18D0349E121}">
      <dgm:prSet/>
      <dgm:spPr/>
      <dgm:t>
        <a:bodyPr/>
        <a:lstStyle/>
        <a:p>
          <a:r>
            <a:rPr lang="en-US"/>
            <a:t>Isherwood, Ben</a:t>
          </a:r>
        </a:p>
      </dgm:t>
    </dgm:pt>
    <dgm:pt modelId="{6687B415-6DE4-460F-AD4D-18FB22E34D52}" type="parTrans" cxnId="{A79D68FD-70BD-4241-B17A-57391ACA1838}">
      <dgm:prSet/>
      <dgm:spPr/>
      <dgm:t>
        <a:bodyPr/>
        <a:lstStyle/>
        <a:p>
          <a:endParaRPr lang="en-US"/>
        </a:p>
      </dgm:t>
    </dgm:pt>
    <dgm:pt modelId="{ACF0E21E-EDA9-443D-BC46-6F5D2181A7E3}" type="sibTrans" cxnId="{A79D68FD-70BD-4241-B17A-57391ACA1838}">
      <dgm:prSet/>
      <dgm:spPr/>
      <dgm:t>
        <a:bodyPr/>
        <a:lstStyle/>
        <a:p>
          <a:endParaRPr lang="en-US"/>
        </a:p>
      </dgm:t>
    </dgm:pt>
    <dgm:pt modelId="{5BDF9AC8-2BF5-410D-BEDA-D3C9BFF81E1A}">
      <dgm:prSet/>
      <dgm:spPr/>
      <dgm:t>
        <a:bodyPr/>
        <a:lstStyle/>
        <a:p>
          <a:r>
            <a:rPr lang="en-US"/>
            <a:t>Charubini, David    Senior, SW Engineer</a:t>
          </a:r>
        </a:p>
      </dgm:t>
    </dgm:pt>
    <dgm:pt modelId="{F9C59650-F9D4-42D4-8848-8F96CD3A9A1A}" type="parTrans" cxnId="{49B5AD2E-397F-4428-BF22-426DA7D0C18F}">
      <dgm:prSet/>
      <dgm:spPr/>
      <dgm:t>
        <a:bodyPr/>
        <a:lstStyle/>
        <a:p>
          <a:endParaRPr lang="en-US"/>
        </a:p>
      </dgm:t>
    </dgm:pt>
    <dgm:pt modelId="{A0FFCC34-9678-482A-8308-71318CCB1033}" type="sibTrans" cxnId="{49B5AD2E-397F-4428-BF22-426DA7D0C18F}">
      <dgm:prSet/>
      <dgm:spPr/>
      <dgm:t>
        <a:bodyPr/>
        <a:lstStyle/>
        <a:p>
          <a:endParaRPr lang="en-US"/>
        </a:p>
      </dgm:t>
    </dgm:pt>
    <dgm:pt modelId="{588015E6-AF0C-4879-B7A6-0D13442C1572}">
      <dgm:prSet/>
      <dgm:spPr/>
      <dgm:t>
        <a:bodyPr/>
        <a:lstStyle/>
        <a:p>
          <a:r>
            <a:rPr lang="en-US"/>
            <a:t>DeRoo, Nick    Software Engineer</a:t>
          </a:r>
        </a:p>
      </dgm:t>
    </dgm:pt>
    <dgm:pt modelId="{776C56EC-A84F-4BE5-B0D4-3D330518193B}" type="parTrans" cxnId="{5ECFABBC-947E-46C6-AD71-E84F00298832}">
      <dgm:prSet/>
      <dgm:spPr/>
      <dgm:t>
        <a:bodyPr/>
        <a:lstStyle/>
        <a:p>
          <a:endParaRPr lang="en-US"/>
        </a:p>
      </dgm:t>
    </dgm:pt>
    <dgm:pt modelId="{B204D13B-B7AD-4512-BDCF-31ED46853B69}" type="sibTrans" cxnId="{5ECFABBC-947E-46C6-AD71-E84F00298832}">
      <dgm:prSet/>
      <dgm:spPr/>
      <dgm:t>
        <a:bodyPr/>
        <a:lstStyle/>
        <a:p>
          <a:endParaRPr lang="en-US"/>
        </a:p>
      </dgm:t>
    </dgm:pt>
    <dgm:pt modelId="{13760482-56DF-4BE1-BACC-0075F5F418A9}">
      <dgm:prSet/>
      <dgm:spPr/>
      <dgm:t>
        <a:bodyPr/>
        <a:lstStyle/>
        <a:p>
          <a:r>
            <a:rPr lang="en-US"/>
            <a:t>Fodera, Frank    Software Engineer</a:t>
          </a:r>
        </a:p>
      </dgm:t>
    </dgm:pt>
    <dgm:pt modelId="{B43A2B18-0B28-4A31-B2F7-8FB95C36E948}" type="parTrans" cxnId="{384B80EA-D0D6-4D67-804C-4A219A2D1D24}">
      <dgm:prSet/>
      <dgm:spPr/>
      <dgm:t>
        <a:bodyPr/>
        <a:lstStyle/>
        <a:p>
          <a:endParaRPr lang="en-US"/>
        </a:p>
      </dgm:t>
    </dgm:pt>
    <dgm:pt modelId="{3D98ACE8-3D6D-4C17-8A37-D3E28680739B}" type="sibTrans" cxnId="{384B80EA-D0D6-4D67-804C-4A219A2D1D24}">
      <dgm:prSet/>
      <dgm:spPr/>
      <dgm:t>
        <a:bodyPr/>
        <a:lstStyle/>
        <a:p>
          <a:endParaRPr lang="en-US"/>
        </a:p>
      </dgm:t>
    </dgm:pt>
    <dgm:pt modelId="{3D2176E4-C1CF-4867-8011-09AB320F5C15}">
      <dgm:prSet/>
      <dgm:spPr/>
      <dgm:t>
        <a:bodyPr/>
        <a:lstStyle/>
        <a:p>
          <a:r>
            <a:rPr lang="en-US"/>
            <a:t>Gershaneck, Nate    Software Engineer</a:t>
          </a:r>
        </a:p>
      </dgm:t>
    </dgm:pt>
    <dgm:pt modelId="{022BADF1-21F4-4871-B989-0A2C399D2459}" type="parTrans" cxnId="{F50DD450-A057-466A-BAC7-CE1EEFD0C05B}">
      <dgm:prSet/>
      <dgm:spPr/>
      <dgm:t>
        <a:bodyPr/>
        <a:lstStyle/>
        <a:p>
          <a:endParaRPr lang="en-US"/>
        </a:p>
      </dgm:t>
    </dgm:pt>
    <dgm:pt modelId="{AC7B314B-0642-4A1A-AD00-F5E4C8E6AC8B}" type="sibTrans" cxnId="{F50DD450-A057-466A-BAC7-CE1EEFD0C05B}">
      <dgm:prSet/>
      <dgm:spPr/>
      <dgm:t>
        <a:bodyPr/>
        <a:lstStyle/>
        <a:p>
          <a:endParaRPr lang="en-US"/>
        </a:p>
      </dgm:t>
    </dgm:pt>
    <dgm:pt modelId="{153B35FA-6F24-4CE5-9577-07E83AA4107E}">
      <dgm:prSet/>
      <dgm:spPr/>
      <dgm:t>
        <a:bodyPr/>
        <a:lstStyle/>
        <a:p>
          <a:r>
            <a:rPr lang="en-US"/>
            <a:t>Grimaldi, Kevin    Senior, SW Engineer</a:t>
          </a:r>
        </a:p>
      </dgm:t>
    </dgm:pt>
    <dgm:pt modelId="{FDC6F5C8-26EC-4F78-BC63-6FA9FA9337E3}" type="parTrans" cxnId="{B866CBFB-E715-4C97-8037-B6B99EBB9FDC}">
      <dgm:prSet/>
      <dgm:spPr/>
      <dgm:t>
        <a:bodyPr/>
        <a:lstStyle/>
        <a:p>
          <a:endParaRPr lang="en-US"/>
        </a:p>
      </dgm:t>
    </dgm:pt>
    <dgm:pt modelId="{466C0568-E55C-49C9-A5CB-0D6DB3F19494}" type="sibTrans" cxnId="{B866CBFB-E715-4C97-8037-B6B99EBB9FDC}">
      <dgm:prSet/>
      <dgm:spPr/>
      <dgm:t>
        <a:bodyPr/>
        <a:lstStyle/>
        <a:p>
          <a:endParaRPr lang="en-US"/>
        </a:p>
      </dgm:t>
    </dgm:pt>
    <dgm:pt modelId="{0CB75F31-26E6-4915-B350-07B7045A188B}">
      <dgm:prSet/>
      <dgm:spPr/>
      <dgm:t>
        <a:bodyPr/>
        <a:lstStyle/>
        <a:p>
          <a:r>
            <a:rPr lang="en-US"/>
            <a:t>Tatar, Ilya    Specialist, SW Engineer</a:t>
          </a:r>
        </a:p>
      </dgm:t>
    </dgm:pt>
    <dgm:pt modelId="{56EC1E96-5BC5-4EF6-8907-35603B15E021}" type="parTrans" cxnId="{61028E58-F1C3-4618-B053-E3DC6473AAC0}">
      <dgm:prSet/>
      <dgm:spPr/>
      <dgm:t>
        <a:bodyPr/>
        <a:lstStyle/>
        <a:p>
          <a:endParaRPr lang="en-US"/>
        </a:p>
      </dgm:t>
    </dgm:pt>
    <dgm:pt modelId="{249FCB5C-FAFB-4DE0-97F0-3472BAF3F31F}" type="sibTrans" cxnId="{61028E58-F1C3-4618-B053-E3DC6473AAC0}">
      <dgm:prSet/>
      <dgm:spPr/>
      <dgm:t>
        <a:bodyPr/>
        <a:lstStyle/>
        <a:p>
          <a:endParaRPr lang="en-US"/>
        </a:p>
      </dgm:t>
    </dgm:pt>
    <dgm:pt modelId="{BBC86A5D-2C21-421A-964B-739E0F42C3AE}">
      <dgm:prSet/>
      <dgm:spPr/>
      <dgm:t>
        <a:bodyPr/>
        <a:lstStyle/>
        <a:p>
          <a:r>
            <a:rPr lang="en-US"/>
            <a:t>Kohli, Nishant</a:t>
          </a:r>
        </a:p>
      </dgm:t>
    </dgm:pt>
    <dgm:pt modelId="{EC468CE6-2DDF-483B-B7D8-AF2D1BC74FB0}" type="parTrans" cxnId="{94FC0DA9-4495-4A8B-8259-D6CC2A6625F3}">
      <dgm:prSet/>
      <dgm:spPr/>
      <dgm:t>
        <a:bodyPr/>
        <a:lstStyle/>
        <a:p>
          <a:endParaRPr lang="en-US"/>
        </a:p>
      </dgm:t>
    </dgm:pt>
    <dgm:pt modelId="{48D56148-E625-4AF7-935C-BA33D461C846}" type="sibTrans" cxnId="{94FC0DA9-4495-4A8B-8259-D6CC2A6625F3}">
      <dgm:prSet/>
      <dgm:spPr/>
      <dgm:t>
        <a:bodyPr/>
        <a:lstStyle/>
        <a:p>
          <a:endParaRPr lang="en-US"/>
        </a:p>
      </dgm:t>
    </dgm:pt>
    <dgm:pt modelId="{E88C1CDA-D45F-4C9D-938B-059BC98E3DCF}">
      <dgm:prSet/>
      <dgm:spPr/>
      <dgm:t>
        <a:bodyPr/>
        <a:lstStyle/>
        <a:p>
          <a:r>
            <a:rPr lang="en-US"/>
            <a:t>Bennett, Charlie    Specialist, SW Engineer</a:t>
          </a:r>
        </a:p>
      </dgm:t>
    </dgm:pt>
    <dgm:pt modelId="{878B04D6-9922-4DEF-BBFD-1BD29219D113}" type="parTrans" cxnId="{CF8C0640-8ABC-4B07-A601-B2B1A9841C42}">
      <dgm:prSet/>
      <dgm:spPr/>
      <dgm:t>
        <a:bodyPr/>
        <a:lstStyle/>
        <a:p>
          <a:endParaRPr lang="en-US"/>
        </a:p>
      </dgm:t>
    </dgm:pt>
    <dgm:pt modelId="{B5053CFA-DF72-4B1B-9E6A-6F1E1E2B0366}" type="sibTrans" cxnId="{CF8C0640-8ABC-4B07-A601-B2B1A9841C42}">
      <dgm:prSet/>
      <dgm:spPr/>
      <dgm:t>
        <a:bodyPr/>
        <a:lstStyle/>
        <a:p>
          <a:endParaRPr lang="en-US"/>
        </a:p>
      </dgm:t>
    </dgm:pt>
    <dgm:pt modelId="{9A2A1DF2-BECF-43D8-BB65-19027B0BF765}">
      <dgm:prSet/>
      <dgm:spPr/>
      <dgm:t>
        <a:bodyPr/>
        <a:lstStyle/>
        <a:p>
          <a:r>
            <a:rPr lang="en-US"/>
            <a:t>Blacklock, David    Master, SW Engineer</a:t>
          </a:r>
        </a:p>
      </dgm:t>
    </dgm:pt>
    <dgm:pt modelId="{EE546B34-D563-47D4-9A01-C209D87D5B5E}" type="parTrans" cxnId="{9FE4CC12-C362-4215-BD03-239DA51ABC0E}">
      <dgm:prSet/>
      <dgm:spPr/>
      <dgm:t>
        <a:bodyPr/>
        <a:lstStyle/>
        <a:p>
          <a:endParaRPr lang="en-US"/>
        </a:p>
      </dgm:t>
    </dgm:pt>
    <dgm:pt modelId="{A7C70811-C3B0-4575-BD62-46939E4A8908}" type="sibTrans" cxnId="{9FE4CC12-C362-4215-BD03-239DA51ABC0E}">
      <dgm:prSet/>
      <dgm:spPr/>
      <dgm:t>
        <a:bodyPr/>
        <a:lstStyle/>
        <a:p>
          <a:endParaRPr lang="en-US"/>
        </a:p>
      </dgm:t>
    </dgm:pt>
    <dgm:pt modelId="{B78621D1-521E-47F7-A519-27125B848C4D}">
      <dgm:prSet/>
      <dgm:spPr>
        <a:ln w="31750" cmpd="dbl"/>
      </dgm:spPr>
      <dgm:t>
        <a:bodyPr/>
        <a:lstStyle/>
        <a:p>
          <a:r>
            <a:rPr lang="en-US"/>
            <a:t>Chestna, Wayne    Senior Manager, Engineering</a:t>
          </a:r>
        </a:p>
      </dgm:t>
    </dgm:pt>
    <dgm:pt modelId="{24D1337C-D0BF-4EDC-A767-48A10290CF29}" type="parTrans" cxnId="{77895913-20C5-4C86-9DD4-13A41A50F365}">
      <dgm:prSet/>
      <dgm:spPr/>
      <dgm:t>
        <a:bodyPr/>
        <a:lstStyle/>
        <a:p>
          <a:endParaRPr lang="en-US"/>
        </a:p>
      </dgm:t>
    </dgm:pt>
    <dgm:pt modelId="{9649B3FE-0B98-499A-BB89-203031EEBBC5}" type="sibTrans" cxnId="{77895913-20C5-4C86-9DD4-13A41A50F365}">
      <dgm:prSet/>
      <dgm:spPr/>
      <dgm:t>
        <a:bodyPr/>
        <a:lstStyle/>
        <a:p>
          <a:endParaRPr lang="en-US"/>
        </a:p>
      </dgm:t>
    </dgm:pt>
    <dgm:pt modelId="{68FA673C-A706-4098-A8B3-EF7BC6A01C1F}">
      <dgm:prSet/>
      <dgm:spPr/>
      <dgm:t>
        <a:bodyPr/>
        <a:lstStyle/>
        <a:p>
          <a:r>
            <a:rPr lang="en-US"/>
            <a:t>Dames, Lisa    Specialist, SW Engineer</a:t>
          </a:r>
        </a:p>
      </dgm:t>
    </dgm:pt>
    <dgm:pt modelId="{6B3F0C49-3B66-4DA1-9AA6-73C8A04B9B47}" type="parTrans" cxnId="{7CE37EE3-62C3-43EC-84B2-BC318C12A504}">
      <dgm:prSet/>
      <dgm:spPr/>
      <dgm:t>
        <a:bodyPr/>
        <a:lstStyle/>
        <a:p>
          <a:endParaRPr lang="en-US"/>
        </a:p>
      </dgm:t>
    </dgm:pt>
    <dgm:pt modelId="{DC0297F2-041A-4781-8384-AA59C0AF2163}" type="sibTrans" cxnId="{7CE37EE3-62C3-43EC-84B2-BC318C12A504}">
      <dgm:prSet/>
      <dgm:spPr/>
      <dgm:t>
        <a:bodyPr/>
        <a:lstStyle/>
        <a:p>
          <a:endParaRPr lang="en-US"/>
        </a:p>
      </dgm:t>
    </dgm:pt>
    <dgm:pt modelId="{F3BB5B20-705A-49CA-A850-2E645438BF92}">
      <dgm:prSet/>
      <dgm:spPr/>
      <dgm:t>
        <a:bodyPr/>
        <a:lstStyle/>
        <a:p>
          <a:r>
            <a:rPr lang="en-US"/>
            <a:t>Haapaoja, Steve    Senior, SW Engineer</a:t>
          </a:r>
        </a:p>
      </dgm:t>
    </dgm:pt>
    <dgm:pt modelId="{E5BDF06F-3ACF-4A7F-8A6C-7CD144F66C22}" type="parTrans" cxnId="{F6AF7C6A-8751-4291-BCFE-D0B09F65C930}">
      <dgm:prSet/>
      <dgm:spPr/>
      <dgm:t>
        <a:bodyPr/>
        <a:lstStyle/>
        <a:p>
          <a:endParaRPr lang="en-US"/>
        </a:p>
      </dgm:t>
    </dgm:pt>
    <dgm:pt modelId="{723FD43A-3FFA-4327-A152-3D9A700190B7}" type="sibTrans" cxnId="{F6AF7C6A-8751-4291-BCFE-D0B09F65C930}">
      <dgm:prSet/>
      <dgm:spPr/>
      <dgm:t>
        <a:bodyPr/>
        <a:lstStyle/>
        <a:p>
          <a:endParaRPr lang="en-US"/>
        </a:p>
      </dgm:t>
    </dgm:pt>
    <dgm:pt modelId="{09ABE78D-08CB-41B2-BA9B-E467D934BDD5}">
      <dgm:prSet/>
      <dgm:spPr/>
      <dgm:t>
        <a:bodyPr/>
        <a:lstStyle/>
        <a:p>
          <a:r>
            <a:rPr lang="en-US"/>
            <a:t>Ramsey, Diane    Specialist, SW Engineer</a:t>
          </a:r>
        </a:p>
      </dgm:t>
    </dgm:pt>
    <dgm:pt modelId="{EC85BD0C-A80C-45A6-B9FA-6F7016FD779D}" type="parTrans" cxnId="{17CB2915-2F1B-478A-B0DD-15DA8AE8C0A5}">
      <dgm:prSet/>
      <dgm:spPr/>
      <dgm:t>
        <a:bodyPr/>
        <a:lstStyle/>
        <a:p>
          <a:endParaRPr lang="en-US"/>
        </a:p>
      </dgm:t>
    </dgm:pt>
    <dgm:pt modelId="{A055BB82-C9AA-4C1A-B50A-8303EB7EC273}" type="sibTrans" cxnId="{17CB2915-2F1B-478A-B0DD-15DA8AE8C0A5}">
      <dgm:prSet/>
      <dgm:spPr/>
      <dgm:t>
        <a:bodyPr/>
        <a:lstStyle/>
        <a:p>
          <a:endParaRPr lang="en-US"/>
        </a:p>
      </dgm:t>
    </dgm:pt>
    <dgm:pt modelId="{EDA4ACD6-D82F-4219-B15C-7CF7815E19A9}">
      <dgm:prSet/>
      <dgm:spPr/>
      <dgm:t>
        <a:bodyPr/>
        <a:lstStyle/>
        <a:p>
          <a:r>
            <a:rPr lang="en-US"/>
            <a:t>Roberts, William    Specialist, SWQA Engineer</a:t>
          </a:r>
        </a:p>
      </dgm:t>
    </dgm:pt>
    <dgm:pt modelId="{643E8885-72B0-4407-8A01-39B7CE6760FC}" type="parTrans" cxnId="{47971520-F93E-4D71-AA9D-C7EED51BF27A}">
      <dgm:prSet/>
      <dgm:spPr/>
      <dgm:t>
        <a:bodyPr/>
        <a:lstStyle/>
        <a:p>
          <a:endParaRPr lang="en-US"/>
        </a:p>
      </dgm:t>
    </dgm:pt>
    <dgm:pt modelId="{86A5E47F-12F7-4B2D-836F-935FFA5B43CA}" type="sibTrans" cxnId="{47971520-F93E-4D71-AA9D-C7EED51BF27A}">
      <dgm:prSet/>
      <dgm:spPr/>
      <dgm:t>
        <a:bodyPr/>
        <a:lstStyle/>
        <a:p>
          <a:endParaRPr lang="en-US"/>
        </a:p>
      </dgm:t>
    </dgm:pt>
    <dgm:pt modelId="{5AB075D3-4772-4249-87E2-981573D971A2}">
      <dgm:prSet/>
      <dgm:spPr/>
      <dgm:t>
        <a:bodyPr/>
        <a:lstStyle/>
        <a:p>
          <a:r>
            <a:rPr lang="en-US"/>
            <a:t>Liang, Candy</a:t>
          </a:r>
        </a:p>
      </dgm:t>
    </dgm:pt>
    <dgm:pt modelId="{70FF6727-5919-4889-BCA5-0DF80F5B6AE9}" type="parTrans" cxnId="{59B5BB68-94A8-4591-ACE6-E03C3C74E2AD}">
      <dgm:prSet/>
      <dgm:spPr/>
      <dgm:t>
        <a:bodyPr/>
        <a:lstStyle/>
        <a:p>
          <a:endParaRPr lang="en-US"/>
        </a:p>
      </dgm:t>
    </dgm:pt>
    <dgm:pt modelId="{0DEF8C5C-7B81-41C4-A91E-31691EA1521E}" type="sibTrans" cxnId="{59B5BB68-94A8-4591-ACE6-E03C3C74E2AD}">
      <dgm:prSet/>
      <dgm:spPr/>
      <dgm:t>
        <a:bodyPr/>
        <a:lstStyle/>
        <a:p>
          <a:endParaRPr lang="en-US"/>
        </a:p>
      </dgm:t>
    </dgm:pt>
    <dgm:pt modelId="{76643A17-7219-4D26-A478-3DA7ABBB3831}">
      <dgm:prSet/>
      <dgm:spPr>
        <a:ln>
          <a:prstDash val="dash"/>
        </a:ln>
      </dgm:spPr>
      <dgm:t>
        <a:bodyPr/>
        <a:lstStyle/>
        <a:p>
          <a:r>
            <a:rPr lang="en-US"/>
            <a:t>Doddappa, Nagaraja    Specialist, SW Engineer</a:t>
          </a:r>
        </a:p>
      </dgm:t>
    </dgm:pt>
    <dgm:pt modelId="{D37B02FF-5ED0-41A8-B1F7-6BC3FC2E6255}" type="parTrans" cxnId="{E5CB2B08-5536-42EC-8A57-2C6631292659}">
      <dgm:prSet/>
      <dgm:spPr/>
      <dgm:t>
        <a:bodyPr/>
        <a:lstStyle/>
        <a:p>
          <a:endParaRPr lang="en-US"/>
        </a:p>
      </dgm:t>
    </dgm:pt>
    <dgm:pt modelId="{35B2E3FB-0975-45CE-9FFD-5B74D380A9E5}" type="sibTrans" cxnId="{E5CB2B08-5536-42EC-8A57-2C6631292659}">
      <dgm:prSet/>
      <dgm:spPr/>
      <dgm:t>
        <a:bodyPr/>
        <a:lstStyle/>
        <a:p>
          <a:endParaRPr lang="en-US"/>
        </a:p>
      </dgm:t>
    </dgm:pt>
    <dgm:pt modelId="{D8378D6B-F7DC-49EE-828C-F839E5E0CDA2}">
      <dgm:prSet/>
      <dgm:spPr>
        <a:ln>
          <a:prstDash val="dash"/>
        </a:ln>
      </dgm:spPr>
      <dgm:t>
        <a:bodyPr/>
        <a:lstStyle/>
        <a:p>
          <a:r>
            <a:rPr lang="en-US"/>
            <a:t>Evelson, Nick    Associate, SW Engineer</a:t>
          </a:r>
        </a:p>
      </dgm:t>
    </dgm:pt>
    <dgm:pt modelId="{21B235CD-7FC8-4019-BE9D-3309A7020690}" type="parTrans" cxnId="{D1871192-546B-4C9D-B5DA-87429BFB388F}">
      <dgm:prSet/>
      <dgm:spPr/>
      <dgm:t>
        <a:bodyPr/>
        <a:lstStyle/>
        <a:p>
          <a:endParaRPr lang="en-US"/>
        </a:p>
      </dgm:t>
    </dgm:pt>
    <dgm:pt modelId="{B7248B01-04E6-4686-A943-32C2A5B0EB38}" type="sibTrans" cxnId="{D1871192-546B-4C9D-B5DA-87429BFB388F}">
      <dgm:prSet/>
      <dgm:spPr/>
      <dgm:t>
        <a:bodyPr/>
        <a:lstStyle/>
        <a:p>
          <a:endParaRPr lang="en-US"/>
        </a:p>
      </dgm:t>
    </dgm:pt>
    <dgm:pt modelId="{3271D8BB-0764-45B6-AFDD-23CFDDC8749B}">
      <dgm:prSet/>
      <dgm:spPr/>
      <dgm:t>
        <a:bodyPr/>
        <a:lstStyle/>
        <a:p>
          <a:r>
            <a:rPr lang="en-US"/>
            <a:t>Harty, Meaghan    Software Engineer</a:t>
          </a:r>
        </a:p>
      </dgm:t>
    </dgm:pt>
    <dgm:pt modelId="{38154F50-1EBD-4312-9CFA-181280422943}" type="parTrans" cxnId="{ED1ED88C-A1F2-4E42-8EF9-342472561857}">
      <dgm:prSet/>
      <dgm:spPr/>
      <dgm:t>
        <a:bodyPr/>
        <a:lstStyle/>
        <a:p>
          <a:endParaRPr lang="en-US"/>
        </a:p>
      </dgm:t>
    </dgm:pt>
    <dgm:pt modelId="{6C2770C7-E9D0-4E0C-9380-74AC23A827AE}" type="sibTrans" cxnId="{ED1ED88C-A1F2-4E42-8EF9-342472561857}">
      <dgm:prSet/>
      <dgm:spPr/>
      <dgm:t>
        <a:bodyPr/>
        <a:lstStyle/>
        <a:p>
          <a:endParaRPr lang="en-US"/>
        </a:p>
      </dgm:t>
    </dgm:pt>
    <dgm:pt modelId="{7D345893-6C98-47D8-91A6-0F9EE3434709}">
      <dgm:prSet/>
      <dgm:spPr/>
      <dgm:t>
        <a:bodyPr/>
        <a:lstStyle/>
        <a:p>
          <a:r>
            <a:rPr lang="en-US"/>
            <a:t>Maxwell, Tyler    Specialist, SW Engineer</a:t>
          </a:r>
        </a:p>
      </dgm:t>
    </dgm:pt>
    <dgm:pt modelId="{480E13F5-8408-4492-AEE6-AEA74F905FD2}" type="parTrans" cxnId="{B725FC95-9D4E-451F-A218-9523BA9CA4A6}">
      <dgm:prSet/>
      <dgm:spPr/>
      <dgm:t>
        <a:bodyPr/>
        <a:lstStyle/>
        <a:p>
          <a:endParaRPr lang="en-US"/>
        </a:p>
      </dgm:t>
    </dgm:pt>
    <dgm:pt modelId="{76B11FC3-C091-466B-B97B-47F8EA6A7199}" type="sibTrans" cxnId="{B725FC95-9D4E-451F-A218-9523BA9CA4A6}">
      <dgm:prSet/>
      <dgm:spPr/>
      <dgm:t>
        <a:bodyPr/>
        <a:lstStyle/>
        <a:p>
          <a:endParaRPr lang="en-US"/>
        </a:p>
      </dgm:t>
    </dgm:pt>
    <dgm:pt modelId="{D607062B-FB01-4508-B904-539E0DF29B4A}">
      <dgm:prSet/>
      <dgm:spPr/>
      <dgm:t>
        <a:bodyPr/>
        <a:lstStyle/>
        <a:p>
          <a:r>
            <a:rPr lang="en-US"/>
            <a:t>Shea, Jerry    Specialist, SW Engineer</a:t>
          </a:r>
        </a:p>
      </dgm:t>
    </dgm:pt>
    <dgm:pt modelId="{C81F0447-B470-4D5C-8CA0-21D60F7268D9}" type="parTrans" cxnId="{C457FACD-8F10-4E15-92AC-FEA2F287F8BB}">
      <dgm:prSet/>
      <dgm:spPr/>
      <dgm:t>
        <a:bodyPr/>
        <a:lstStyle/>
        <a:p>
          <a:endParaRPr lang="en-US"/>
        </a:p>
      </dgm:t>
    </dgm:pt>
    <dgm:pt modelId="{D9E5B48D-9FFD-41D7-ACEC-D814FF4A7AB1}" type="sibTrans" cxnId="{C457FACD-8F10-4E15-92AC-FEA2F287F8BB}">
      <dgm:prSet/>
      <dgm:spPr/>
      <dgm:t>
        <a:bodyPr/>
        <a:lstStyle/>
        <a:p>
          <a:endParaRPr lang="en-US"/>
        </a:p>
      </dgm:t>
    </dgm:pt>
    <dgm:pt modelId="{8CC3DD72-E01A-493D-AFFA-2FAE6A82A4C5}">
      <dgm:prSet/>
      <dgm:spPr/>
      <dgm:t>
        <a:bodyPr/>
        <a:lstStyle/>
        <a:p>
          <a:r>
            <a:rPr lang="en-US"/>
            <a:t>Stuart, Logan    Associate, SW Engineer</a:t>
          </a:r>
        </a:p>
      </dgm:t>
    </dgm:pt>
    <dgm:pt modelId="{97142484-34EC-4734-ABDB-7CB245A1FED9}" type="parTrans" cxnId="{7FFADBC1-FA30-491E-9EBE-435A7CE8D29D}">
      <dgm:prSet/>
      <dgm:spPr/>
      <dgm:t>
        <a:bodyPr/>
        <a:lstStyle/>
        <a:p>
          <a:endParaRPr lang="en-US"/>
        </a:p>
      </dgm:t>
    </dgm:pt>
    <dgm:pt modelId="{1D749683-D747-47B8-AC9C-309D2BDE41F0}" type="sibTrans" cxnId="{7FFADBC1-FA30-491E-9EBE-435A7CE8D29D}">
      <dgm:prSet/>
      <dgm:spPr/>
      <dgm:t>
        <a:bodyPr/>
        <a:lstStyle/>
        <a:p>
          <a:endParaRPr lang="en-US"/>
        </a:p>
      </dgm:t>
    </dgm:pt>
    <dgm:pt modelId="{B787B8B9-17FA-4DBE-B15E-7EE6E946F3E3}">
      <dgm:prSet/>
      <dgm:spPr/>
      <dgm:t>
        <a:bodyPr/>
        <a:lstStyle/>
        <a:p>
          <a:r>
            <a:rPr lang="en-US"/>
            <a:t>Taneja, Nitesh    Specialist, SW Engineer</a:t>
          </a:r>
        </a:p>
      </dgm:t>
    </dgm:pt>
    <dgm:pt modelId="{4089B06B-D90E-4C0C-88F8-3275EC5A5747}" type="parTrans" cxnId="{DBEE0DB4-773A-41F9-9EE3-F2CF470453B6}">
      <dgm:prSet/>
      <dgm:spPr/>
      <dgm:t>
        <a:bodyPr/>
        <a:lstStyle/>
        <a:p>
          <a:endParaRPr lang="en-US"/>
        </a:p>
      </dgm:t>
    </dgm:pt>
    <dgm:pt modelId="{A96DBD24-1C3C-42C1-BBA9-9378277E748D}" type="sibTrans" cxnId="{DBEE0DB4-773A-41F9-9EE3-F2CF470453B6}">
      <dgm:prSet/>
      <dgm:spPr/>
      <dgm:t>
        <a:bodyPr/>
        <a:lstStyle/>
        <a:p>
          <a:endParaRPr lang="en-US"/>
        </a:p>
      </dgm:t>
    </dgm:pt>
    <dgm:pt modelId="{0EB675E9-4E9C-4FB3-844F-C7D2E1513E0A}">
      <dgm:prSet/>
      <dgm:spPr/>
      <dgm:t>
        <a:bodyPr/>
        <a:lstStyle/>
        <a:p>
          <a:r>
            <a:rPr lang="en-US"/>
            <a:t>Wilson, Eric    Senior, SW Engineer</a:t>
          </a:r>
        </a:p>
      </dgm:t>
    </dgm:pt>
    <dgm:pt modelId="{2B12583C-2DF8-438A-AD8B-142DE926F7A2}" type="parTrans" cxnId="{FEDFC7FE-28DE-41C6-B2A8-A09462F33612}">
      <dgm:prSet/>
      <dgm:spPr/>
      <dgm:t>
        <a:bodyPr/>
        <a:lstStyle/>
        <a:p>
          <a:endParaRPr lang="en-US"/>
        </a:p>
      </dgm:t>
    </dgm:pt>
    <dgm:pt modelId="{1A663A2A-9666-49FF-9490-9B814CED6143}" type="sibTrans" cxnId="{FEDFC7FE-28DE-41C6-B2A8-A09462F33612}">
      <dgm:prSet/>
      <dgm:spPr/>
      <dgm:t>
        <a:bodyPr/>
        <a:lstStyle/>
        <a:p>
          <a:endParaRPr lang="en-US"/>
        </a:p>
      </dgm:t>
    </dgm:pt>
    <dgm:pt modelId="{89FAAB76-109C-4B59-BE35-12BB3CECFF28}">
      <dgm:prSet/>
      <dgm:spPr/>
      <dgm:t>
        <a:bodyPr/>
        <a:lstStyle/>
        <a:p>
          <a:r>
            <a:rPr lang="en-US"/>
            <a:t>Lin, Wayzen</a:t>
          </a:r>
        </a:p>
      </dgm:t>
    </dgm:pt>
    <dgm:pt modelId="{FC1D4075-CBFB-4E8A-86B3-225D688D4D3E}" type="parTrans" cxnId="{7A6C5584-12EF-4B1B-8EC3-AC5A5C5DBEE3}">
      <dgm:prSet/>
      <dgm:spPr/>
      <dgm:t>
        <a:bodyPr/>
        <a:lstStyle/>
        <a:p>
          <a:endParaRPr lang="en-US"/>
        </a:p>
      </dgm:t>
    </dgm:pt>
    <dgm:pt modelId="{3076D278-0F75-41A5-90D3-63C94E681B7C}" type="sibTrans" cxnId="{7A6C5584-12EF-4B1B-8EC3-AC5A5C5DBEE3}">
      <dgm:prSet/>
      <dgm:spPr/>
      <dgm:t>
        <a:bodyPr/>
        <a:lstStyle/>
        <a:p>
          <a:endParaRPr lang="en-US"/>
        </a:p>
      </dgm:t>
    </dgm:pt>
    <dgm:pt modelId="{FC8C7653-65CE-48E9-AF57-204C4CCE7A0F}">
      <dgm:prSet/>
      <dgm:spPr/>
      <dgm:t>
        <a:bodyPr/>
        <a:lstStyle/>
        <a:p>
          <a:r>
            <a:rPr lang="en-US"/>
            <a:t>Bramante, Rich    Specialist, SW Engineer</a:t>
          </a:r>
        </a:p>
      </dgm:t>
    </dgm:pt>
    <dgm:pt modelId="{7BF7DC6A-4756-40B7-A13F-D0FD8C1A3A82}" type="parTrans" cxnId="{C491E688-E1C6-4003-B5B8-5EEB70FC5C9A}">
      <dgm:prSet/>
      <dgm:spPr/>
      <dgm:t>
        <a:bodyPr/>
        <a:lstStyle/>
        <a:p>
          <a:endParaRPr lang="en-US"/>
        </a:p>
      </dgm:t>
    </dgm:pt>
    <dgm:pt modelId="{CD3F1550-3B0C-4188-B5B3-424FBE6BB9CE}" type="sibTrans" cxnId="{C491E688-E1C6-4003-B5B8-5EEB70FC5C9A}">
      <dgm:prSet/>
      <dgm:spPr/>
      <dgm:t>
        <a:bodyPr/>
        <a:lstStyle/>
        <a:p>
          <a:endParaRPr lang="en-US"/>
        </a:p>
      </dgm:t>
    </dgm:pt>
    <dgm:pt modelId="{D43D9762-0118-4725-A88D-A9BB4F308562}">
      <dgm:prSet/>
      <dgm:spPr/>
      <dgm:t>
        <a:bodyPr/>
        <a:lstStyle/>
        <a:p>
          <a:r>
            <a:rPr lang="en-US"/>
            <a:t>Clifford, Ben    Specialist, SW Engineer</a:t>
          </a:r>
        </a:p>
      </dgm:t>
    </dgm:pt>
    <dgm:pt modelId="{D840A87C-CD3B-4687-A434-EF9A77B208C1}" type="parTrans" cxnId="{68B7620D-5371-425A-B7F8-CC46BACAE326}">
      <dgm:prSet/>
      <dgm:spPr/>
      <dgm:t>
        <a:bodyPr/>
        <a:lstStyle/>
        <a:p>
          <a:endParaRPr lang="en-US"/>
        </a:p>
      </dgm:t>
    </dgm:pt>
    <dgm:pt modelId="{8B75C6A7-2B61-487D-B2D8-79DA5C435F3E}" type="sibTrans" cxnId="{68B7620D-5371-425A-B7F8-CC46BACAE326}">
      <dgm:prSet/>
      <dgm:spPr/>
      <dgm:t>
        <a:bodyPr/>
        <a:lstStyle/>
        <a:p>
          <a:endParaRPr lang="en-US"/>
        </a:p>
      </dgm:t>
    </dgm:pt>
    <dgm:pt modelId="{EEC9BF3D-3678-43E3-A49D-4DC4C4B21DBB}">
      <dgm:prSet/>
      <dgm:spPr/>
      <dgm:t>
        <a:bodyPr/>
        <a:lstStyle/>
        <a:p>
          <a:r>
            <a:rPr lang="en-US"/>
            <a:t>Hartford, Joe    Specialist, SW Engineer</a:t>
          </a:r>
        </a:p>
      </dgm:t>
    </dgm:pt>
    <dgm:pt modelId="{F959AF7D-4C0F-4B9C-95F4-750778868262}" type="parTrans" cxnId="{49B7102A-D483-4EA1-B806-53F31B7A2B0E}">
      <dgm:prSet/>
      <dgm:spPr/>
      <dgm:t>
        <a:bodyPr/>
        <a:lstStyle/>
        <a:p>
          <a:endParaRPr lang="en-US"/>
        </a:p>
      </dgm:t>
    </dgm:pt>
    <dgm:pt modelId="{AFDDEF48-D233-4266-8B4D-16EBD7362581}" type="sibTrans" cxnId="{49B7102A-D483-4EA1-B806-53F31B7A2B0E}">
      <dgm:prSet/>
      <dgm:spPr/>
      <dgm:t>
        <a:bodyPr/>
        <a:lstStyle/>
        <a:p>
          <a:endParaRPr lang="en-US"/>
        </a:p>
      </dgm:t>
    </dgm:pt>
    <dgm:pt modelId="{FD9480BE-2425-421A-862C-57F89755700A}">
      <dgm:prSet/>
      <dgm:spPr/>
      <dgm:t>
        <a:bodyPr/>
        <a:lstStyle/>
        <a:p>
          <a:r>
            <a:rPr lang="en-US"/>
            <a:t>Isaacson, Steve    Specialist, SW Engineer</a:t>
          </a:r>
        </a:p>
      </dgm:t>
    </dgm:pt>
    <dgm:pt modelId="{BE2628FE-03DF-4409-9365-C1DB1B91D8AA}" type="parTrans" cxnId="{86CFE9CB-7004-4D42-9E3F-47203CB07BEE}">
      <dgm:prSet/>
      <dgm:spPr/>
      <dgm:t>
        <a:bodyPr/>
        <a:lstStyle/>
        <a:p>
          <a:endParaRPr lang="en-US"/>
        </a:p>
      </dgm:t>
    </dgm:pt>
    <dgm:pt modelId="{B81F3C74-3564-4093-9FD6-50341366212F}" type="sibTrans" cxnId="{86CFE9CB-7004-4D42-9E3F-47203CB07BEE}">
      <dgm:prSet/>
      <dgm:spPr/>
      <dgm:t>
        <a:bodyPr/>
        <a:lstStyle/>
        <a:p>
          <a:endParaRPr lang="en-US"/>
        </a:p>
      </dgm:t>
    </dgm:pt>
    <dgm:pt modelId="{961BED1F-DCFD-4DD0-9967-2BAECB94A83E}">
      <dgm:prSet/>
      <dgm:spPr/>
      <dgm:t>
        <a:bodyPr/>
        <a:lstStyle/>
        <a:p>
          <a:r>
            <a:rPr lang="en-US"/>
            <a:t>Kulma, Marty    Specialist, SW Engineer</a:t>
          </a:r>
        </a:p>
      </dgm:t>
    </dgm:pt>
    <dgm:pt modelId="{7A3D7118-303D-43BD-BEBA-591D4DB3D964}" type="parTrans" cxnId="{D3693510-B520-41CE-A56B-5A05EB997034}">
      <dgm:prSet/>
      <dgm:spPr/>
      <dgm:t>
        <a:bodyPr/>
        <a:lstStyle/>
        <a:p>
          <a:endParaRPr lang="en-US"/>
        </a:p>
      </dgm:t>
    </dgm:pt>
    <dgm:pt modelId="{C2D0E74F-27E1-435E-841B-BE643768F9C1}" type="sibTrans" cxnId="{D3693510-B520-41CE-A56B-5A05EB997034}">
      <dgm:prSet/>
      <dgm:spPr/>
      <dgm:t>
        <a:bodyPr/>
        <a:lstStyle/>
        <a:p>
          <a:endParaRPr lang="en-US"/>
        </a:p>
      </dgm:t>
    </dgm:pt>
    <dgm:pt modelId="{99443A7C-39BE-4D8F-9443-5F88C668C990}">
      <dgm:prSet/>
      <dgm:spPr/>
      <dgm:t>
        <a:bodyPr/>
        <a:lstStyle/>
        <a:p>
          <a:r>
            <a:rPr lang="en-US"/>
            <a:t>Mittal, Rashmi    Master, SW Engineer</a:t>
          </a:r>
        </a:p>
      </dgm:t>
    </dgm:pt>
    <dgm:pt modelId="{22D9C15B-BB8E-44FD-8914-4467B159F567}" type="parTrans" cxnId="{1237A01B-BF1E-475D-AF88-C395EF74A367}">
      <dgm:prSet/>
      <dgm:spPr/>
      <dgm:t>
        <a:bodyPr/>
        <a:lstStyle/>
        <a:p>
          <a:endParaRPr lang="en-US"/>
        </a:p>
      </dgm:t>
    </dgm:pt>
    <dgm:pt modelId="{3D0E8616-712C-47D3-82CE-3952ABF78E6C}" type="sibTrans" cxnId="{1237A01B-BF1E-475D-AF88-C395EF74A367}">
      <dgm:prSet/>
      <dgm:spPr/>
      <dgm:t>
        <a:bodyPr/>
        <a:lstStyle/>
        <a:p>
          <a:endParaRPr lang="en-US"/>
        </a:p>
      </dgm:t>
    </dgm:pt>
    <dgm:pt modelId="{468470EA-FB27-4C95-A837-2AEBF10E771D}">
      <dgm:prSet/>
      <dgm:spPr/>
      <dgm:t>
        <a:bodyPr/>
        <a:lstStyle/>
        <a:p>
          <a:r>
            <a:rPr lang="en-US"/>
            <a:t>Perkins, Ed    Specialist, SWQA Engineer</a:t>
          </a:r>
        </a:p>
      </dgm:t>
    </dgm:pt>
    <dgm:pt modelId="{96112716-A665-4BD4-B8D9-8E1675CA3DF7}" type="parTrans" cxnId="{7B2A8E89-344E-4A56-A53C-BE76C901B061}">
      <dgm:prSet/>
      <dgm:spPr/>
      <dgm:t>
        <a:bodyPr/>
        <a:lstStyle/>
        <a:p>
          <a:endParaRPr lang="en-US"/>
        </a:p>
      </dgm:t>
    </dgm:pt>
    <dgm:pt modelId="{5D39FB79-8C27-401C-B1AD-CCC41BCA8C70}" type="sibTrans" cxnId="{7B2A8E89-344E-4A56-A53C-BE76C901B061}">
      <dgm:prSet/>
      <dgm:spPr/>
      <dgm:t>
        <a:bodyPr/>
        <a:lstStyle/>
        <a:p>
          <a:endParaRPr lang="en-US"/>
        </a:p>
      </dgm:t>
    </dgm:pt>
    <dgm:pt modelId="{3110BDCA-229F-4156-8E8A-72BAC25DEBB9}">
      <dgm:prSet/>
      <dgm:spPr/>
      <dgm:t>
        <a:bodyPr/>
        <a:lstStyle/>
        <a:p>
          <a:r>
            <a:rPr lang="en-US"/>
            <a:t>Raman, Vijay    Master, SW Engineer</a:t>
          </a:r>
        </a:p>
      </dgm:t>
    </dgm:pt>
    <dgm:pt modelId="{DFAC3E41-D125-477B-ACBB-FF1E6E0A45F7}" type="parTrans" cxnId="{EA998780-FE3F-4765-ABEA-B53D4524EFB7}">
      <dgm:prSet/>
      <dgm:spPr/>
      <dgm:t>
        <a:bodyPr/>
        <a:lstStyle/>
        <a:p>
          <a:endParaRPr lang="en-US"/>
        </a:p>
      </dgm:t>
    </dgm:pt>
    <dgm:pt modelId="{DE61BA64-F770-4E2E-B874-382834A36B56}" type="sibTrans" cxnId="{EA998780-FE3F-4765-ABEA-B53D4524EFB7}">
      <dgm:prSet/>
      <dgm:spPr/>
      <dgm:t>
        <a:bodyPr/>
        <a:lstStyle/>
        <a:p>
          <a:endParaRPr lang="en-US"/>
        </a:p>
      </dgm:t>
    </dgm:pt>
    <dgm:pt modelId="{F8DB0C66-438C-4671-BFC2-0BADAFFE270F}">
      <dgm:prSet/>
      <dgm:spPr/>
      <dgm:t>
        <a:bodyPr/>
        <a:lstStyle/>
        <a:p>
          <a:r>
            <a:rPr lang="en-US"/>
            <a:t>Simons, Thorsten    Master, SW Engineer</a:t>
          </a:r>
        </a:p>
      </dgm:t>
    </dgm:pt>
    <dgm:pt modelId="{E36C160B-539A-454D-A28D-BBAB6D5168D1}" type="parTrans" cxnId="{D01E8C92-2178-469F-8A2E-1750AE216A15}">
      <dgm:prSet/>
      <dgm:spPr/>
      <dgm:t>
        <a:bodyPr/>
        <a:lstStyle/>
        <a:p>
          <a:endParaRPr lang="en-US"/>
        </a:p>
      </dgm:t>
    </dgm:pt>
    <dgm:pt modelId="{2BB08FDD-1345-417A-AD29-778A2F6ECB94}" type="sibTrans" cxnId="{D01E8C92-2178-469F-8A2E-1750AE216A15}">
      <dgm:prSet/>
      <dgm:spPr/>
      <dgm:t>
        <a:bodyPr/>
        <a:lstStyle/>
        <a:p>
          <a:endParaRPr lang="en-US"/>
        </a:p>
      </dgm:t>
    </dgm:pt>
    <dgm:pt modelId="{B24D7424-CBE8-4287-BAB3-8C0C7FE25E11}">
      <dgm:prSet/>
      <dgm:spPr/>
      <dgm:t>
        <a:bodyPr/>
        <a:lstStyle/>
        <a:p>
          <a:r>
            <a:rPr lang="en-US"/>
            <a:t>Pannese, Donald</a:t>
          </a:r>
        </a:p>
      </dgm:t>
    </dgm:pt>
    <dgm:pt modelId="{F37D516C-953C-4595-A4F5-D4ABB2030A86}" type="parTrans" cxnId="{6204703E-DFA5-4206-9D32-A36D2FA49074}">
      <dgm:prSet/>
      <dgm:spPr/>
      <dgm:t>
        <a:bodyPr/>
        <a:lstStyle/>
        <a:p>
          <a:endParaRPr lang="en-US"/>
        </a:p>
      </dgm:t>
    </dgm:pt>
    <dgm:pt modelId="{C9165D37-D1B7-4737-A1A2-EBB2E1E308DD}" type="sibTrans" cxnId="{6204703E-DFA5-4206-9D32-A36D2FA49074}">
      <dgm:prSet/>
      <dgm:spPr/>
      <dgm:t>
        <a:bodyPr/>
        <a:lstStyle/>
        <a:p>
          <a:endParaRPr lang="en-US"/>
        </a:p>
      </dgm:t>
    </dgm:pt>
    <dgm:pt modelId="{7B1C066E-7351-4A55-AC8E-0A521AE9B6F8}">
      <dgm:prSet/>
      <dgm:spPr/>
      <dgm:t>
        <a:bodyPr/>
        <a:lstStyle/>
        <a:p>
          <a:r>
            <a:rPr lang="en-US"/>
            <a:t>Baron, Tom    Specialist, SWQA Engineer</a:t>
          </a:r>
        </a:p>
      </dgm:t>
    </dgm:pt>
    <dgm:pt modelId="{70FDEC69-4A58-4397-A5F1-4882D742DCDF}" type="parTrans" cxnId="{617CE00C-EC90-4EB1-8DB5-AD9DE486DF6E}">
      <dgm:prSet/>
      <dgm:spPr/>
      <dgm:t>
        <a:bodyPr/>
        <a:lstStyle/>
        <a:p>
          <a:endParaRPr lang="en-US"/>
        </a:p>
      </dgm:t>
    </dgm:pt>
    <dgm:pt modelId="{4DC07BC3-F83A-4A36-B568-9AC7B356747E}" type="sibTrans" cxnId="{617CE00C-EC90-4EB1-8DB5-AD9DE486DF6E}">
      <dgm:prSet/>
      <dgm:spPr/>
      <dgm:t>
        <a:bodyPr/>
        <a:lstStyle/>
        <a:p>
          <a:endParaRPr lang="en-US"/>
        </a:p>
      </dgm:t>
    </dgm:pt>
    <dgm:pt modelId="{8697436E-899A-4BFF-9342-1EAEDDE98C3F}">
      <dgm:prSet/>
      <dgm:spPr>
        <a:ln>
          <a:prstDash val="dash"/>
        </a:ln>
      </dgm:spPr>
      <dgm:t>
        <a:bodyPr/>
        <a:lstStyle/>
        <a:p>
          <a:r>
            <a:rPr lang="en-US"/>
            <a:t>Everitt, Steve    Associate, SW Engineer</a:t>
          </a:r>
        </a:p>
      </dgm:t>
    </dgm:pt>
    <dgm:pt modelId="{962AD2A8-0651-4BC5-BF85-3FD458C91141}" type="parTrans" cxnId="{21402FBC-59E0-47AC-B0AA-7729F4BC4E40}">
      <dgm:prSet/>
      <dgm:spPr/>
      <dgm:t>
        <a:bodyPr/>
        <a:lstStyle/>
        <a:p>
          <a:endParaRPr lang="en-US"/>
        </a:p>
      </dgm:t>
    </dgm:pt>
    <dgm:pt modelId="{C68FF4BE-58F9-4D7B-8100-F1DBEB0325DB}" type="sibTrans" cxnId="{21402FBC-59E0-47AC-B0AA-7729F4BC4E40}">
      <dgm:prSet/>
      <dgm:spPr/>
      <dgm:t>
        <a:bodyPr/>
        <a:lstStyle/>
        <a:p>
          <a:endParaRPr lang="en-US"/>
        </a:p>
      </dgm:t>
    </dgm:pt>
    <dgm:pt modelId="{4A83D6B1-A784-4644-8D91-E965CC418F20}">
      <dgm:prSet/>
      <dgm:spPr>
        <a:ln>
          <a:prstDash val="dash"/>
        </a:ln>
      </dgm:spPr>
      <dgm:t>
        <a:bodyPr/>
        <a:lstStyle/>
        <a:p>
          <a:r>
            <a:rPr lang="en-US"/>
            <a:t>Lopes, Kyle    Associate, SWQA Engineer</a:t>
          </a:r>
        </a:p>
      </dgm:t>
    </dgm:pt>
    <dgm:pt modelId="{819A3BFB-61B0-44DD-9879-0BBC02653777}" type="parTrans" cxnId="{DF98BB5C-A0E2-40C7-A678-357CC5AFB91D}">
      <dgm:prSet/>
      <dgm:spPr/>
      <dgm:t>
        <a:bodyPr/>
        <a:lstStyle/>
        <a:p>
          <a:endParaRPr lang="en-US"/>
        </a:p>
      </dgm:t>
    </dgm:pt>
    <dgm:pt modelId="{CB4F377D-6A28-4FE5-8883-3E79017E94BD}" type="sibTrans" cxnId="{DF98BB5C-A0E2-40C7-A678-357CC5AFB91D}">
      <dgm:prSet/>
      <dgm:spPr/>
      <dgm:t>
        <a:bodyPr/>
        <a:lstStyle/>
        <a:p>
          <a:endParaRPr lang="en-US"/>
        </a:p>
      </dgm:t>
    </dgm:pt>
    <dgm:pt modelId="{FC6D7D9F-26BD-4893-806D-0A5DA481E73E}">
      <dgm:prSet/>
      <dgm:spPr/>
      <dgm:t>
        <a:bodyPr/>
        <a:lstStyle/>
        <a:p>
          <a:r>
            <a:rPr lang="en-US"/>
            <a:t>Meagher, Tom    Software Engineer</a:t>
          </a:r>
        </a:p>
      </dgm:t>
    </dgm:pt>
    <dgm:pt modelId="{E9B6DD9E-AA0F-4B9F-831F-714025438846}" type="parTrans" cxnId="{145B7FDE-C4E0-4A47-9771-2DADB40BC5AC}">
      <dgm:prSet/>
      <dgm:spPr/>
      <dgm:t>
        <a:bodyPr/>
        <a:lstStyle/>
        <a:p>
          <a:endParaRPr lang="en-US"/>
        </a:p>
      </dgm:t>
    </dgm:pt>
    <dgm:pt modelId="{9C39CDA1-FDC0-4B04-B8D2-CC74D5051519}" type="sibTrans" cxnId="{145B7FDE-C4E0-4A47-9771-2DADB40BC5AC}">
      <dgm:prSet/>
      <dgm:spPr/>
      <dgm:t>
        <a:bodyPr/>
        <a:lstStyle/>
        <a:p>
          <a:endParaRPr lang="en-US"/>
        </a:p>
      </dgm:t>
    </dgm:pt>
    <dgm:pt modelId="{0DBF97A0-0046-4ED2-BBF4-EB7D44910C65}">
      <dgm:prSet/>
      <dgm:spPr>
        <a:ln>
          <a:prstDash val="dash"/>
        </a:ln>
      </dgm:spPr>
      <dgm:t>
        <a:bodyPr/>
        <a:lstStyle/>
        <a:p>
          <a:r>
            <a:rPr lang="en-US"/>
            <a:t>Rivas, Eddie    Associate, SW Engineer</a:t>
          </a:r>
        </a:p>
      </dgm:t>
    </dgm:pt>
    <dgm:pt modelId="{B0105F56-B441-429F-9B75-0890B2059962}" type="parTrans" cxnId="{4C2A7ED2-11DB-4612-86BE-06E1629561EB}">
      <dgm:prSet/>
      <dgm:spPr/>
      <dgm:t>
        <a:bodyPr/>
        <a:lstStyle/>
        <a:p>
          <a:endParaRPr lang="en-US"/>
        </a:p>
      </dgm:t>
    </dgm:pt>
    <dgm:pt modelId="{BD971BF6-A5EB-4A10-A0D6-E7624098D6DA}" type="sibTrans" cxnId="{4C2A7ED2-11DB-4612-86BE-06E1629561EB}">
      <dgm:prSet/>
      <dgm:spPr/>
      <dgm:t>
        <a:bodyPr/>
        <a:lstStyle/>
        <a:p>
          <a:endParaRPr lang="en-US"/>
        </a:p>
      </dgm:t>
    </dgm:pt>
    <dgm:pt modelId="{DE9C5063-817E-44A6-921B-644748024459}">
      <dgm:prSet/>
      <dgm:spPr/>
      <dgm:t>
        <a:bodyPr/>
        <a:lstStyle/>
        <a:p>
          <a:r>
            <a:rPr lang="en-US"/>
            <a:t>Pinkney, Dave</a:t>
          </a:r>
        </a:p>
      </dgm:t>
    </dgm:pt>
    <dgm:pt modelId="{76E74E0D-A027-4BE9-B230-821A53329B07}" type="parTrans" cxnId="{3274AE92-3490-48CD-8FE8-5E223BAC7ED5}">
      <dgm:prSet/>
      <dgm:spPr/>
      <dgm:t>
        <a:bodyPr/>
        <a:lstStyle/>
        <a:p>
          <a:endParaRPr lang="en-US"/>
        </a:p>
      </dgm:t>
    </dgm:pt>
    <dgm:pt modelId="{D1A28528-6EC6-4975-BE5F-7AAB4FEB2D12}" type="sibTrans" cxnId="{3274AE92-3490-48CD-8FE8-5E223BAC7ED5}">
      <dgm:prSet/>
      <dgm:spPr/>
      <dgm:t>
        <a:bodyPr/>
        <a:lstStyle/>
        <a:p>
          <a:endParaRPr lang="en-US"/>
        </a:p>
      </dgm:t>
    </dgm:pt>
    <dgm:pt modelId="{66E7BA91-365D-4BE9-AF7A-3357E7D014A3}">
      <dgm:prSet/>
      <dgm:spPr/>
      <dgm:t>
        <a:bodyPr/>
        <a:lstStyle/>
        <a:p>
          <a:r>
            <a:rPr lang="en-US"/>
            <a:t>Clark, Nate    Specialist, SW Engineer</a:t>
          </a:r>
        </a:p>
      </dgm:t>
    </dgm:pt>
    <dgm:pt modelId="{BE205DB3-2BED-404D-8FE9-88B1AF6E4BCC}" type="parTrans" cxnId="{592C744E-4E78-4317-832D-9497CDC3D816}">
      <dgm:prSet/>
      <dgm:spPr/>
      <dgm:t>
        <a:bodyPr/>
        <a:lstStyle/>
        <a:p>
          <a:endParaRPr lang="en-US"/>
        </a:p>
      </dgm:t>
    </dgm:pt>
    <dgm:pt modelId="{8A39A7E2-6BF7-4716-A54B-5C26D3D087D6}" type="sibTrans" cxnId="{592C744E-4E78-4317-832D-9497CDC3D816}">
      <dgm:prSet/>
      <dgm:spPr/>
      <dgm:t>
        <a:bodyPr/>
        <a:lstStyle/>
        <a:p>
          <a:endParaRPr lang="en-US"/>
        </a:p>
      </dgm:t>
    </dgm:pt>
    <dgm:pt modelId="{378279E8-26F3-4451-9372-279518ACF117}">
      <dgm:prSet/>
      <dgm:spPr/>
      <dgm:t>
        <a:bodyPr/>
        <a:lstStyle/>
        <a:p>
          <a:r>
            <a:rPr lang="en-US"/>
            <a:t>Curry, Clay    Specialist, SW Engineer</a:t>
          </a:r>
        </a:p>
      </dgm:t>
    </dgm:pt>
    <dgm:pt modelId="{073719FE-7B5A-417A-94D3-00806D468204}" type="parTrans" cxnId="{A410FAAC-0593-4204-9492-6D6643D56631}">
      <dgm:prSet/>
      <dgm:spPr/>
      <dgm:t>
        <a:bodyPr/>
        <a:lstStyle/>
        <a:p>
          <a:endParaRPr lang="en-US"/>
        </a:p>
      </dgm:t>
    </dgm:pt>
    <dgm:pt modelId="{35027557-4DE6-478A-856F-C7281034650C}" type="sibTrans" cxnId="{A410FAAC-0593-4204-9492-6D6643D56631}">
      <dgm:prSet/>
      <dgm:spPr/>
      <dgm:t>
        <a:bodyPr/>
        <a:lstStyle/>
        <a:p>
          <a:endParaRPr lang="en-US"/>
        </a:p>
      </dgm:t>
    </dgm:pt>
    <dgm:pt modelId="{A59716C7-D4B2-4CC5-8CCA-CC5FC33BF823}">
      <dgm:prSet/>
      <dgm:spPr>
        <a:ln w="31750" cmpd="dbl"/>
      </dgm:spPr>
      <dgm:t>
        <a:bodyPr/>
        <a:lstStyle/>
        <a:p>
          <a:r>
            <a:rPr lang="en-US"/>
            <a:t>Isherwood, Ben    Senior Manager, Engineering</a:t>
          </a:r>
        </a:p>
      </dgm:t>
    </dgm:pt>
    <dgm:pt modelId="{84BD4DDC-2844-4ED8-9158-70D265A7203D}" type="parTrans" cxnId="{C03E1DDB-6E96-44EA-AF22-C9FC8A08A308}">
      <dgm:prSet/>
      <dgm:spPr/>
      <dgm:t>
        <a:bodyPr/>
        <a:lstStyle/>
        <a:p>
          <a:endParaRPr lang="en-US"/>
        </a:p>
      </dgm:t>
    </dgm:pt>
    <dgm:pt modelId="{81E20C51-B5D0-4537-9398-54D9A2326423}" type="sibTrans" cxnId="{C03E1DDB-6E96-44EA-AF22-C9FC8A08A308}">
      <dgm:prSet/>
      <dgm:spPr/>
      <dgm:t>
        <a:bodyPr/>
        <a:lstStyle/>
        <a:p>
          <a:endParaRPr lang="en-US"/>
        </a:p>
      </dgm:t>
    </dgm:pt>
    <dgm:pt modelId="{3DFB50EE-047E-489F-8619-20DA49904CA3}">
      <dgm:prSet/>
      <dgm:spPr/>
      <dgm:t>
        <a:bodyPr/>
        <a:lstStyle/>
        <a:p>
          <a:r>
            <a:rPr lang="en-US"/>
            <a:t>Kats, Yury    Specialist, SW Engineer</a:t>
          </a:r>
        </a:p>
      </dgm:t>
    </dgm:pt>
    <dgm:pt modelId="{51F9D806-2EE3-4AED-8BEE-343C1D021B17}" type="parTrans" cxnId="{2F32212C-8273-44A6-8C5A-D6F561C243CB}">
      <dgm:prSet/>
      <dgm:spPr/>
      <dgm:t>
        <a:bodyPr/>
        <a:lstStyle/>
        <a:p>
          <a:endParaRPr lang="en-US"/>
        </a:p>
      </dgm:t>
    </dgm:pt>
    <dgm:pt modelId="{0F2468BD-9725-4C30-9A25-D058319E2E15}" type="sibTrans" cxnId="{2F32212C-8273-44A6-8C5A-D6F561C243CB}">
      <dgm:prSet/>
      <dgm:spPr/>
      <dgm:t>
        <a:bodyPr/>
        <a:lstStyle/>
        <a:p>
          <a:endParaRPr lang="en-US"/>
        </a:p>
      </dgm:t>
    </dgm:pt>
    <dgm:pt modelId="{A5F90680-7B79-41D5-A8E6-225D31DC4B87}">
      <dgm:prSet/>
      <dgm:spPr>
        <a:ln w="31750" cmpd="dbl"/>
      </dgm:spPr>
      <dgm:t>
        <a:bodyPr/>
        <a:lstStyle/>
        <a:p>
          <a:r>
            <a:rPr lang="en-US"/>
            <a:t>Kostadinov, Alex    Manager, Engineering</a:t>
          </a:r>
        </a:p>
      </dgm:t>
    </dgm:pt>
    <dgm:pt modelId="{415FF3D0-5F1F-4B3C-B5AC-5AE94F4B606D}" type="parTrans" cxnId="{127F142A-B31A-40B5-B08D-0AF5B625FCD9}">
      <dgm:prSet/>
      <dgm:spPr/>
      <dgm:t>
        <a:bodyPr/>
        <a:lstStyle/>
        <a:p>
          <a:endParaRPr lang="en-US"/>
        </a:p>
      </dgm:t>
    </dgm:pt>
    <dgm:pt modelId="{CC53C0BD-EF78-4D78-9116-3E7A4B914DB2}" type="sibTrans" cxnId="{127F142A-B31A-40B5-B08D-0AF5B625FCD9}">
      <dgm:prSet/>
      <dgm:spPr/>
      <dgm:t>
        <a:bodyPr/>
        <a:lstStyle/>
        <a:p>
          <a:endParaRPr lang="en-US"/>
        </a:p>
      </dgm:t>
    </dgm:pt>
    <dgm:pt modelId="{2F57A7C8-EAD6-417A-9963-9CD75B56D62D}">
      <dgm:prSet/>
      <dgm:spPr/>
      <dgm:t>
        <a:bodyPr/>
        <a:lstStyle/>
        <a:p>
          <a:r>
            <a:rPr lang="en-US"/>
            <a:t>Manjanatha, Sowmya    Specialist, SW Engineer</a:t>
          </a:r>
        </a:p>
      </dgm:t>
    </dgm:pt>
    <dgm:pt modelId="{176850B5-6DEA-4471-A38D-379C3F990132}" type="parTrans" cxnId="{CD793627-6AD7-4FFA-8A3E-587BAD6B1FC4}">
      <dgm:prSet/>
      <dgm:spPr/>
      <dgm:t>
        <a:bodyPr/>
        <a:lstStyle/>
        <a:p>
          <a:endParaRPr lang="en-US"/>
        </a:p>
      </dgm:t>
    </dgm:pt>
    <dgm:pt modelId="{6A533A5A-6917-46BA-8131-BA065D6CA78A}" type="sibTrans" cxnId="{CD793627-6AD7-4FFA-8A3E-587BAD6B1FC4}">
      <dgm:prSet/>
      <dgm:spPr/>
      <dgm:t>
        <a:bodyPr/>
        <a:lstStyle/>
        <a:p>
          <a:endParaRPr lang="en-US"/>
        </a:p>
      </dgm:t>
    </dgm:pt>
    <dgm:pt modelId="{EFB8A608-B878-4152-A395-8F6A90818889}">
      <dgm:prSet/>
      <dgm:spPr>
        <a:ln w="31750" cmpd="dbl"/>
      </dgm:spPr>
      <dgm:t>
        <a:bodyPr/>
        <a:lstStyle/>
        <a:p>
          <a:r>
            <a:rPr lang="en-US"/>
            <a:t>Pannese, Donald    Senior Manager, Engineering</a:t>
          </a:r>
        </a:p>
      </dgm:t>
    </dgm:pt>
    <dgm:pt modelId="{FAF714C7-BD6E-45EE-B02A-8102E458A745}" type="parTrans" cxnId="{7EFE392D-555A-4982-A04D-272B39AF4B37}">
      <dgm:prSet/>
      <dgm:spPr/>
      <dgm:t>
        <a:bodyPr/>
        <a:lstStyle/>
        <a:p>
          <a:endParaRPr lang="en-US"/>
        </a:p>
      </dgm:t>
    </dgm:pt>
    <dgm:pt modelId="{5EE179A8-6711-42F0-AD52-63B9AB3D841A}" type="sibTrans" cxnId="{7EFE392D-555A-4982-A04D-272B39AF4B37}">
      <dgm:prSet/>
      <dgm:spPr/>
      <dgm:t>
        <a:bodyPr/>
        <a:lstStyle/>
        <a:p>
          <a:endParaRPr lang="en-US"/>
        </a:p>
      </dgm:t>
    </dgm:pt>
    <dgm:pt modelId="{CF166E8B-1ED3-40C5-B23E-E11E402644F7}">
      <dgm:prSet/>
      <dgm:spPr/>
      <dgm:t>
        <a:bodyPr/>
        <a:lstStyle/>
        <a:p>
          <a:r>
            <a:rPr lang="en-US"/>
            <a:t>Zolotusky, Vitaly    Master, SW Engineer</a:t>
          </a:r>
        </a:p>
      </dgm:t>
    </dgm:pt>
    <dgm:pt modelId="{0B6EEE45-8468-47E8-9A9A-6F11FD26DF90}" type="parTrans" cxnId="{C60206FD-7C99-4294-97EE-1886311C6643}">
      <dgm:prSet/>
      <dgm:spPr/>
      <dgm:t>
        <a:bodyPr/>
        <a:lstStyle/>
        <a:p>
          <a:endParaRPr lang="en-US"/>
        </a:p>
      </dgm:t>
    </dgm:pt>
    <dgm:pt modelId="{54421637-2A9C-4E4F-9C50-D9C44A6AE88A}" type="sibTrans" cxnId="{C60206FD-7C99-4294-97EE-1886311C6643}">
      <dgm:prSet/>
      <dgm:spPr/>
      <dgm:t>
        <a:bodyPr/>
        <a:lstStyle/>
        <a:p>
          <a:endParaRPr lang="en-US"/>
        </a:p>
      </dgm:t>
    </dgm:pt>
    <dgm:pt modelId="{4F31E03D-D87C-467D-A7AB-D06F4642FAC0}">
      <dgm:prSet/>
      <dgm:spPr/>
      <dgm:t>
        <a:bodyPr/>
        <a:lstStyle/>
        <a:p>
          <a:r>
            <a:rPr lang="en-US"/>
            <a:t>Rogers, Rich</a:t>
          </a:r>
        </a:p>
      </dgm:t>
    </dgm:pt>
    <dgm:pt modelId="{826ED3F8-87C3-49FE-9BDA-9C29EF89E618}" type="parTrans" cxnId="{B236419E-EC02-47AD-A35C-9F56B35EE83C}">
      <dgm:prSet/>
      <dgm:spPr/>
      <dgm:t>
        <a:bodyPr/>
        <a:lstStyle/>
        <a:p>
          <a:endParaRPr lang="en-US"/>
        </a:p>
      </dgm:t>
    </dgm:pt>
    <dgm:pt modelId="{7437BE00-390F-4437-A6F4-BFB95AAC9BD4}" type="sibTrans" cxnId="{B236419E-EC02-47AD-A35C-9F56B35EE83C}">
      <dgm:prSet/>
      <dgm:spPr/>
      <dgm:t>
        <a:bodyPr/>
        <a:lstStyle/>
        <a:p>
          <a:endParaRPr lang="en-US"/>
        </a:p>
      </dgm:t>
    </dgm:pt>
    <dgm:pt modelId="{12C96E59-87B6-4D34-A6E6-018885628401}">
      <dgm:prSet/>
      <dgm:spPr>
        <a:ln w="31750" cmpd="dbl"/>
      </dgm:spPr>
      <dgm:t>
        <a:bodyPr/>
        <a:lstStyle/>
        <a:p>
          <a:r>
            <a:rPr lang="en-US"/>
            <a:t>Anderson, Vic    Senior Director, Engineering</a:t>
          </a:r>
        </a:p>
      </dgm:t>
    </dgm:pt>
    <dgm:pt modelId="{A3BE2314-58C4-465A-AD86-080BA4DE73F4}" type="parTrans" cxnId="{FF4F15B0-3973-4E88-BDB7-435828967A8B}">
      <dgm:prSet/>
      <dgm:spPr/>
      <dgm:t>
        <a:bodyPr/>
        <a:lstStyle/>
        <a:p>
          <a:endParaRPr lang="en-US"/>
        </a:p>
      </dgm:t>
    </dgm:pt>
    <dgm:pt modelId="{7C9547B0-928D-4C58-8246-62DFF353B3CB}" type="sibTrans" cxnId="{FF4F15B0-3973-4E88-BDB7-435828967A8B}">
      <dgm:prSet/>
      <dgm:spPr/>
      <dgm:t>
        <a:bodyPr/>
        <a:lstStyle/>
        <a:p>
          <a:endParaRPr lang="en-US"/>
        </a:p>
      </dgm:t>
    </dgm:pt>
    <dgm:pt modelId="{275BBD9D-C392-4352-8CC5-7EF493032D38}">
      <dgm:prSet/>
      <dgm:spPr>
        <a:ln w="31750" cmpd="dbl"/>
      </dgm:spPr>
      <dgm:t>
        <a:bodyPr/>
        <a:lstStyle/>
        <a:p>
          <a:r>
            <a:rPr lang="en-US"/>
            <a:t>Lin, Wayzen    Senior Director, Engineering</a:t>
          </a:r>
        </a:p>
      </dgm:t>
    </dgm:pt>
    <dgm:pt modelId="{DAB3F220-F44A-4B0B-B6F7-499EAE491F0D}" type="parTrans" cxnId="{F65AFDC6-AC13-4E63-BE02-2214B3F6AA90}">
      <dgm:prSet/>
      <dgm:spPr/>
      <dgm:t>
        <a:bodyPr/>
        <a:lstStyle/>
        <a:p>
          <a:endParaRPr lang="en-US"/>
        </a:p>
      </dgm:t>
    </dgm:pt>
    <dgm:pt modelId="{7571F30A-7B06-4569-A2B7-C830FEFA1D1B}" type="sibTrans" cxnId="{F65AFDC6-AC13-4E63-BE02-2214B3F6AA90}">
      <dgm:prSet/>
      <dgm:spPr/>
      <dgm:t>
        <a:bodyPr/>
        <a:lstStyle/>
        <a:p>
          <a:endParaRPr lang="en-US"/>
        </a:p>
      </dgm:t>
    </dgm:pt>
    <dgm:pt modelId="{E9D948D4-27AC-4D1D-AFC8-5174D4F7B37A}">
      <dgm:prSet/>
      <dgm:spPr>
        <a:ln w="31750" cmpd="dbl"/>
      </dgm:spPr>
      <dgm:t>
        <a:bodyPr/>
        <a:lstStyle/>
        <a:p>
          <a:r>
            <a:rPr lang="en-US"/>
            <a:t>Pinkney, Dave    Senior Director, Engineering</a:t>
          </a:r>
        </a:p>
      </dgm:t>
    </dgm:pt>
    <dgm:pt modelId="{0B3FE62D-F67D-47BF-8A49-D65552ED4D1C}" type="parTrans" cxnId="{2D41E5C7-BACF-4083-82A0-A6BF20FA069B}">
      <dgm:prSet/>
      <dgm:spPr/>
      <dgm:t>
        <a:bodyPr/>
        <a:lstStyle/>
        <a:p>
          <a:endParaRPr lang="en-US"/>
        </a:p>
      </dgm:t>
    </dgm:pt>
    <dgm:pt modelId="{A7108F87-A95E-4F90-9F62-F23759ED1F6E}" type="sibTrans" cxnId="{2D41E5C7-BACF-4083-82A0-A6BF20FA069B}">
      <dgm:prSet/>
      <dgm:spPr/>
      <dgm:t>
        <a:bodyPr/>
        <a:lstStyle/>
        <a:p>
          <a:endParaRPr lang="en-US"/>
        </a:p>
      </dgm:t>
    </dgm:pt>
    <dgm:pt modelId="{CE8A4B6B-F553-4483-A17D-734FD512C005}">
      <dgm:prSet/>
      <dgm:spPr>
        <a:ln>
          <a:prstDash val="dash"/>
        </a:ln>
      </dgm:spPr>
      <dgm:t>
        <a:bodyPr/>
        <a:lstStyle/>
        <a:p>
          <a:r>
            <a:rPr lang="en-US"/>
            <a:t>Bishop, Jon    Associate, SWQA Engineer</a:t>
          </a:r>
        </a:p>
      </dgm:t>
    </dgm:pt>
    <dgm:pt modelId="{D555F7FE-8196-4F50-8B71-3E9D0EAC5B6F}" type="parTrans" cxnId="{3474F895-49DB-43CF-90FB-71D463780F0E}">
      <dgm:prSet/>
      <dgm:spPr/>
      <dgm:t>
        <a:bodyPr/>
        <a:lstStyle/>
        <a:p>
          <a:endParaRPr lang="en-US"/>
        </a:p>
      </dgm:t>
    </dgm:pt>
    <dgm:pt modelId="{1BD16278-678C-4D4B-AE1B-C295FD0F0A24}" type="sibTrans" cxnId="{3474F895-49DB-43CF-90FB-71D463780F0E}">
      <dgm:prSet/>
      <dgm:spPr/>
      <dgm:t>
        <a:bodyPr/>
        <a:lstStyle/>
        <a:p>
          <a:endParaRPr lang="en-US"/>
        </a:p>
      </dgm:t>
    </dgm:pt>
    <dgm:pt modelId="{7F4754E4-698F-4321-86CA-3E41611ADE53}">
      <dgm:prSet/>
      <dgm:spPr>
        <a:ln>
          <a:prstDash val="dash"/>
        </a:ln>
      </dgm:spPr>
      <dgm:t>
        <a:bodyPr/>
        <a:lstStyle/>
        <a:p>
          <a:r>
            <a:rPr lang="en-US"/>
            <a:t>Chen, Justin    Associate, SW Engineer</a:t>
          </a:r>
        </a:p>
      </dgm:t>
    </dgm:pt>
    <dgm:pt modelId="{409575C1-DE41-45ED-BE30-062CB790AAC9}" type="parTrans" cxnId="{2B61FD78-57A3-47F7-BFD3-2C7B0EAAAC82}">
      <dgm:prSet/>
      <dgm:spPr/>
      <dgm:t>
        <a:bodyPr/>
        <a:lstStyle/>
        <a:p>
          <a:endParaRPr lang="en-US"/>
        </a:p>
      </dgm:t>
    </dgm:pt>
    <dgm:pt modelId="{5478873B-9FC2-4CF1-A1D9-F5C885DCA195}" type="sibTrans" cxnId="{2B61FD78-57A3-47F7-BFD3-2C7B0EAAAC82}">
      <dgm:prSet/>
      <dgm:spPr/>
      <dgm:t>
        <a:bodyPr/>
        <a:lstStyle/>
        <a:p>
          <a:endParaRPr lang="en-US"/>
        </a:p>
      </dgm:t>
    </dgm:pt>
    <dgm:pt modelId="{10B16838-4B8C-4050-ACEE-C87CC26561A9}">
      <dgm:prSet/>
      <dgm:spPr/>
      <dgm:t>
        <a:bodyPr/>
        <a:lstStyle/>
        <a:p>
          <a:r>
            <a:rPr lang="en-US"/>
            <a:t>Kostadinov, Alex</a:t>
          </a:r>
        </a:p>
      </dgm:t>
    </dgm:pt>
    <dgm:pt modelId="{FF154101-9528-4414-825E-07187722ABA6}" type="parTrans" cxnId="{8CD9ABA7-B744-44DF-80B7-B0E45671C6FE}">
      <dgm:prSet/>
      <dgm:spPr/>
      <dgm:t>
        <a:bodyPr/>
        <a:lstStyle/>
        <a:p>
          <a:endParaRPr lang="en-US"/>
        </a:p>
      </dgm:t>
    </dgm:pt>
    <dgm:pt modelId="{C895EFA7-3109-4E6B-B537-718007F65833}" type="sibTrans" cxnId="{8CD9ABA7-B744-44DF-80B7-B0E45671C6FE}">
      <dgm:prSet/>
      <dgm:spPr/>
      <dgm:t>
        <a:bodyPr/>
        <a:lstStyle/>
        <a:p>
          <a:endParaRPr lang="en-US"/>
        </a:p>
      </dgm:t>
    </dgm:pt>
    <dgm:pt modelId="{1D85DD8E-9930-4B52-9702-EF5ADCE54994}">
      <dgm:prSet/>
      <dgm:spPr/>
      <dgm:t>
        <a:bodyPr/>
        <a:lstStyle/>
        <a:p>
          <a:r>
            <a:rPr lang="en-US"/>
            <a:t>Conlon, Bryan    Technical Writer</a:t>
          </a:r>
        </a:p>
      </dgm:t>
    </dgm:pt>
    <dgm:pt modelId="{2CB9AC27-11DE-488A-AF0C-CE66563D9166}" type="parTrans" cxnId="{4F26C27E-C45B-4F78-9B2C-F355B6E9DC4E}">
      <dgm:prSet/>
      <dgm:spPr/>
      <dgm:t>
        <a:bodyPr/>
        <a:lstStyle/>
        <a:p>
          <a:endParaRPr lang="en-US"/>
        </a:p>
      </dgm:t>
    </dgm:pt>
    <dgm:pt modelId="{97089F76-3C5A-4B9B-9686-741359A69BB7}" type="sibTrans" cxnId="{4F26C27E-C45B-4F78-9B2C-F355B6E9DC4E}">
      <dgm:prSet/>
      <dgm:spPr/>
      <dgm:t>
        <a:bodyPr/>
        <a:lstStyle/>
        <a:p>
          <a:endParaRPr lang="en-US"/>
        </a:p>
      </dgm:t>
    </dgm:pt>
    <dgm:pt modelId="{DCC482A2-BA5F-4C23-8C83-51AA2662C1AA}">
      <dgm:prSet/>
      <dgm:spPr/>
      <dgm:t>
        <a:bodyPr/>
        <a:lstStyle/>
        <a:p>
          <a:r>
            <a:rPr lang="en-US"/>
            <a:t>Larrousse, Mary    Associate, SW Engineer</a:t>
          </a:r>
        </a:p>
      </dgm:t>
    </dgm:pt>
    <dgm:pt modelId="{8BE2B69C-82CA-4C84-80D3-DE65EC61F4FD}" type="parTrans" cxnId="{83F42D9B-6140-4E63-BF6A-D479EE94B3B7}">
      <dgm:prSet/>
      <dgm:spPr/>
      <dgm:t>
        <a:bodyPr/>
        <a:lstStyle/>
        <a:p>
          <a:endParaRPr lang="en-US"/>
        </a:p>
      </dgm:t>
    </dgm:pt>
    <dgm:pt modelId="{4271CE7C-512C-4BA0-9B6A-F3BA4DA2C922}" type="sibTrans" cxnId="{83F42D9B-6140-4E63-BF6A-D479EE94B3B7}">
      <dgm:prSet/>
      <dgm:spPr/>
      <dgm:t>
        <a:bodyPr/>
        <a:lstStyle/>
        <a:p>
          <a:endParaRPr lang="en-US"/>
        </a:p>
      </dgm:t>
    </dgm:pt>
    <dgm:pt modelId="{77461728-C5FF-4906-AF9B-CDF51D1C5981}">
      <dgm:prSet/>
      <dgm:spPr/>
      <dgm:t>
        <a:bodyPr/>
        <a:lstStyle/>
        <a:p>
          <a:r>
            <a:rPr lang="en-US"/>
            <a:t>Lee, Jonathan    SWQA Engineer</a:t>
          </a:r>
        </a:p>
      </dgm:t>
    </dgm:pt>
    <dgm:pt modelId="{FED32F89-786E-4CFD-9CC9-D15261B7651C}" type="parTrans" cxnId="{8BE3CA8A-42D1-4320-9537-E3CD74B5400F}">
      <dgm:prSet/>
      <dgm:spPr/>
      <dgm:t>
        <a:bodyPr/>
        <a:lstStyle/>
        <a:p>
          <a:endParaRPr lang="en-US"/>
        </a:p>
      </dgm:t>
    </dgm:pt>
    <dgm:pt modelId="{831AC66A-648A-47D3-A0A2-18D56E947781}" type="sibTrans" cxnId="{8BE3CA8A-42D1-4320-9537-E3CD74B5400F}">
      <dgm:prSet/>
      <dgm:spPr/>
      <dgm:t>
        <a:bodyPr/>
        <a:lstStyle/>
        <a:p>
          <a:endParaRPr lang="en-US"/>
        </a:p>
      </dgm:t>
    </dgm:pt>
    <dgm:pt modelId="{253C6671-3B4E-4211-B060-CEF3F851DC7B}">
      <dgm:prSet/>
      <dgm:spPr/>
      <dgm:t>
        <a:bodyPr/>
        <a:lstStyle/>
        <a:p>
          <a:r>
            <a:rPr lang="en-US"/>
            <a:t>Cooper, Rob    Senior, SW Engineer</a:t>
          </a:r>
        </a:p>
      </dgm:t>
    </dgm:pt>
    <dgm:pt modelId="{1D7DD449-7C7F-4C27-9CA5-896C83EEA377}" type="parTrans" cxnId="{245D19A5-1CB4-42FE-93F5-477B853F6B8C}">
      <dgm:prSet/>
      <dgm:spPr/>
      <dgm:t>
        <a:bodyPr/>
        <a:lstStyle/>
        <a:p>
          <a:endParaRPr lang="en-US"/>
        </a:p>
      </dgm:t>
    </dgm:pt>
    <dgm:pt modelId="{23BCBE48-D3F3-4555-9BD9-627735476A2C}" type="sibTrans" cxnId="{245D19A5-1CB4-42FE-93F5-477B853F6B8C}">
      <dgm:prSet/>
      <dgm:spPr/>
      <dgm:t>
        <a:bodyPr/>
        <a:lstStyle/>
        <a:p>
          <a:endParaRPr lang="en-US"/>
        </a:p>
      </dgm:t>
    </dgm:pt>
    <dgm:pt modelId="{3E026255-5AE1-42AC-8D8E-316FF0A0C137}">
      <dgm:prSet/>
      <dgm:spPr/>
      <dgm:t>
        <a:bodyPr/>
        <a:lstStyle/>
        <a:p>
          <a:r>
            <a:rPr lang="en-US"/>
            <a:t>Wohler, Walter    Software Engineer</a:t>
          </a:r>
        </a:p>
      </dgm:t>
    </dgm:pt>
    <dgm:pt modelId="{9300B2B8-EF3E-4014-8B73-A1D91584C0F3}" type="parTrans" cxnId="{62729B8F-18E8-42B0-AAD3-980872E5845B}">
      <dgm:prSet/>
      <dgm:spPr/>
      <dgm:t>
        <a:bodyPr/>
        <a:lstStyle/>
        <a:p>
          <a:endParaRPr lang="en-US"/>
        </a:p>
      </dgm:t>
    </dgm:pt>
    <dgm:pt modelId="{B4820D7A-C964-4CCF-9DEE-7080DC760F7B}" type="sibTrans" cxnId="{62729B8F-18E8-42B0-AAD3-980872E5845B}">
      <dgm:prSet/>
      <dgm:spPr/>
      <dgm:t>
        <a:bodyPr/>
        <a:lstStyle/>
        <a:p>
          <a:endParaRPr lang="en-US"/>
        </a:p>
      </dgm:t>
    </dgm:pt>
    <dgm:pt modelId="{ADB6D666-4F9A-4A19-B9DC-582D73C3F211}">
      <dgm:prSet/>
      <dgm:spPr/>
      <dgm:t>
        <a:bodyPr/>
        <a:lstStyle/>
        <a:p>
          <a:r>
            <a:rPr lang="en-US"/>
            <a:t>Yaninas, Scott    Software Engineer</a:t>
          </a:r>
        </a:p>
      </dgm:t>
    </dgm:pt>
    <dgm:pt modelId="{617A7C11-ABC1-4AB5-8B80-1B70A3ACA8A0}" type="parTrans" cxnId="{EBC2522E-0112-4B41-82E2-537180BADA79}">
      <dgm:prSet/>
      <dgm:spPr/>
      <dgm:t>
        <a:bodyPr/>
        <a:lstStyle/>
        <a:p>
          <a:endParaRPr lang="en-US"/>
        </a:p>
      </dgm:t>
    </dgm:pt>
    <dgm:pt modelId="{805B8100-D636-44C1-A7C0-B3D4733796B8}" type="sibTrans" cxnId="{EBC2522E-0112-4B41-82E2-537180BADA79}">
      <dgm:prSet/>
      <dgm:spPr/>
      <dgm:t>
        <a:bodyPr/>
        <a:lstStyle/>
        <a:p>
          <a:endParaRPr lang="en-US"/>
        </a:p>
      </dgm:t>
    </dgm:pt>
    <dgm:pt modelId="{E31B053E-A420-B647-A62F-E660345489D0}">
      <dgm:prSet/>
      <dgm:spPr/>
      <dgm:t>
        <a:bodyPr/>
        <a:lstStyle/>
        <a:p>
          <a:r>
            <a:rPr lang="en-US"/>
            <a:t>Jellis, Nathan  Software Engineer</a:t>
          </a:r>
        </a:p>
      </dgm:t>
    </dgm:pt>
    <dgm:pt modelId="{5479D00B-09C8-C74A-A350-6C9AE065486B}" type="parTrans" cxnId="{6F3C066E-53F8-834E-97A4-2D7D04ECEAD4}">
      <dgm:prSet/>
      <dgm:spPr/>
      <dgm:t>
        <a:bodyPr/>
        <a:lstStyle/>
        <a:p>
          <a:endParaRPr lang="en-US"/>
        </a:p>
      </dgm:t>
    </dgm:pt>
    <dgm:pt modelId="{78F9EDAE-CF69-1749-87CA-1EB01B075EDF}" type="sibTrans" cxnId="{6F3C066E-53F8-834E-97A4-2D7D04ECEAD4}">
      <dgm:prSet/>
      <dgm:spPr/>
      <dgm:t>
        <a:bodyPr/>
        <a:lstStyle/>
        <a:p>
          <a:endParaRPr lang="en-US"/>
        </a:p>
      </dgm:t>
    </dgm:pt>
    <dgm:pt modelId="{6ED13C29-A9CD-6D42-94B0-F2598ECF76D8}">
      <dgm:prSet/>
      <dgm:spPr/>
      <dgm:t>
        <a:bodyPr/>
        <a:lstStyle/>
        <a:p>
          <a:r>
            <a:rPr lang="en-US"/>
            <a:t>da Cruz, Jonathan    SWQA Engineer</a:t>
          </a:r>
        </a:p>
      </dgm:t>
    </dgm:pt>
    <dgm:pt modelId="{1FE679B8-590B-EE4C-8FF7-8C2BA7991E2F}" type="parTrans" cxnId="{57F5B508-9367-3945-8B58-4E29E0C6A66F}">
      <dgm:prSet/>
      <dgm:spPr/>
      <dgm:t>
        <a:bodyPr/>
        <a:lstStyle/>
        <a:p>
          <a:endParaRPr lang="en-US"/>
        </a:p>
      </dgm:t>
    </dgm:pt>
    <dgm:pt modelId="{176E8EAB-B700-B949-9219-F01D15E47AE4}" type="sibTrans" cxnId="{57F5B508-9367-3945-8B58-4E29E0C6A66F}">
      <dgm:prSet/>
      <dgm:spPr/>
      <dgm:t>
        <a:bodyPr/>
        <a:lstStyle/>
        <a:p>
          <a:endParaRPr lang="en-US"/>
        </a:p>
      </dgm:t>
    </dgm:pt>
    <dgm:pt modelId="{3941A3DF-8B6D-714C-9471-2F8F757FE3CB}">
      <dgm:prSet/>
      <dgm:spPr>
        <a:ln w="31750" cmpd="dbl"/>
      </dgm:spPr>
      <dgm:t>
        <a:bodyPr/>
        <a:lstStyle/>
        <a:p>
          <a:r>
            <a:rPr lang="en-US"/>
            <a:t>Burnham, John    Senior Manager, Engineering</a:t>
          </a:r>
        </a:p>
      </dgm:t>
    </dgm:pt>
    <dgm:pt modelId="{58A42467-109A-1C41-B675-373A749A3EC5}" type="parTrans" cxnId="{FB7E2032-E32D-F948-875E-4DEC1310FB25}">
      <dgm:prSet/>
      <dgm:spPr/>
      <dgm:t>
        <a:bodyPr/>
        <a:lstStyle/>
        <a:p>
          <a:endParaRPr lang="en-US"/>
        </a:p>
      </dgm:t>
    </dgm:pt>
    <dgm:pt modelId="{4DC75662-A637-0D49-8177-96D4D8C3755C}" type="sibTrans" cxnId="{FB7E2032-E32D-F948-875E-4DEC1310FB25}">
      <dgm:prSet/>
      <dgm:spPr/>
      <dgm:t>
        <a:bodyPr/>
        <a:lstStyle/>
        <a:p>
          <a:endParaRPr lang="en-US"/>
        </a:p>
      </dgm:t>
    </dgm:pt>
    <dgm:pt modelId="{3B97A161-BFA6-BC44-BA8C-461E9E3BB0AE}">
      <dgm:prSet/>
      <dgm:spPr/>
      <dgm:t>
        <a:bodyPr/>
        <a:lstStyle/>
        <a:p>
          <a:r>
            <a:rPr lang="en-US"/>
            <a:t>Van Thong, Adrien    Senior, SW Engineer</a:t>
          </a:r>
        </a:p>
      </dgm:t>
    </dgm:pt>
    <dgm:pt modelId="{F2C6F392-7405-B941-AB4B-2DCF3D87E2B7}" type="parTrans" cxnId="{82025DED-5DCE-A448-A9B4-90364AF6EEB9}">
      <dgm:prSet/>
      <dgm:spPr/>
      <dgm:t>
        <a:bodyPr/>
        <a:lstStyle/>
        <a:p>
          <a:endParaRPr lang="en-US"/>
        </a:p>
      </dgm:t>
    </dgm:pt>
    <dgm:pt modelId="{785CA24F-5388-C140-9529-1758D5540209}" type="sibTrans" cxnId="{82025DED-5DCE-A448-A9B4-90364AF6EEB9}">
      <dgm:prSet/>
      <dgm:spPr/>
      <dgm:t>
        <a:bodyPr/>
        <a:lstStyle/>
        <a:p>
          <a:endParaRPr lang="en-US"/>
        </a:p>
      </dgm:t>
    </dgm:pt>
    <dgm:pt modelId="{759834C1-12ED-A046-8966-60150A56989A}">
      <dgm:prSet/>
      <dgm:spPr>
        <a:ln>
          <a:prstDash val="dash"/>
        </a:ln>
      </dgm:spPr>
      <dgm:t>
        <a:bodyPr/>
        <a:lstStyle/>
        <a:p>
          <a:r>
            <a:rPr lang="en-US"/>
            <a:t>Klein, Alex    Associate, Admin</a:t>
          </a:r>
        </a:p>
      </dgm:t>
    </dgm:pt>
    <dgm:pt modelId="{0B948A8D-506C-AC43-A2F4-ED9BF0E03C60}" type="parTrans" cxnId="{914B247B-E5E3-BD48-8547-73AC9569FBE0}">
      <dgm:prSet/>
      <dgm:spPr/>
      <dgm:t>
        <a:bodyPr/>
        <a:lstStyle/>
        <a:p>
          <a:endParaRPr lang="en-US"/>
        </a:p>
      </dgm:t>
    </dgm:pt>
    <dgm:pt modelId="{A6CB6849-51FA-034A-B972-F7327DCD8021}" type="sibTrans" cxnId="{914B247B-E5E3-BD48-8547-73AC9569FBE0}">
      <dgm:prSet/>
      <dgm:spPr/>
      <dgm:t>
        <a:bodyPr/>
        <a:lstStyle/>
        <a:p>
          <a:endParaRPr lang="en-US"/>
        </a:p>
      </dgm:t>
    </dgm:pt>
    <dgm:pt modelId="{2C905CED-0515-1448-AA9B-1F7CAA519AE0}">
      <dgm:prSet/>
      <dgm:spPr/>
      <dgm:t>
        <a:bodyPr/>
        <a:lstStyle/>
        <a:p>
          <a:r>
            <a:rPr lang="en-US"/>
            <a:t>List, Andrew    Strategist, Engineering</a:t>
          </a:r>
        </a:p>
      </dgm:t>
    </dgm:pt>
    <dgm:pt modelId="{081B2C3F-C7C9-2846-9539-FEA98DF40933}" type="parTrans" cxnId="{DA1F79E4-093D-804E-83E7-F2B621B69F42}">
      <dgm:prSet/>
      <dgm:spPr/>
      <dgm:t>
        <a:bodyPr/>
        <a:lstStyle/>
        <a:p>
          <a:endParaRPr lang="en-US"/>
        </a:p>
      </dgm:t>
    </dgm:pt>
    <dgm:pt modelId="{9EA2BD48-4001-7040-8EBE-996A1A605FC3}" type="sibTrans" cxnId="{DA1F79E4-093D-804E-83E7-F2B621B69F42}">
      <dgm:prSet/>
      <dgm:spPr/>
      <dgm:t>
        <a:bodyPr/>
        <a:lstStyle/>
        <a:p>
          <a:endParaRPr lang="en-US"/>
        </a:p>
      </dgm:t>
    </dgm:pt>
    <dgm:pt modelId="{EECDC874-5450-C947-B592-9B7648206C76}">
      <dgm:prSet/>
      <dgm:spPr>
        <a:ln w="12700" cmpd="sng">
          <a:prstDash val="sysDot"/>
        </a:ln>
      </dgm:spPr>
      <dgm:t>
        <a:bodyPr/>
        <a:lstStyle/>
        <a:p>
          <a:r>
            <a:rPr lang="en-US"/>
            <a:t>Pfahl, Matt</a:t>
          </a:r>
        </a:p>
      </dgm:t>
    </dgm:pt>
    <dgm:pt modelId="{EE9E8811-ABAC-3640-897D-11F5C854B5BA}" type="parTrans" cxnId="{11119DC0-B486-2747-B9F1-B5BDF3BE6E2C}">
      <dgm:prSet/>
      <dgm:spPr/>
      <dgm:t>
        <a:bodyPr/>
        <a:lstStyle/>
        <a:p>
          <a:endParaRPr lang="en-US"/>
        </a:p>
      </dgm:t>
    </dgm:pt>
    <dgm:pt modelId="{829C02CC-82FB-134D-B014-9EA34F051032}" type="sibTrans" cxnId="{11119DC0-B486-2747-B9F1-B5BDF3BE6E2C}">
      <dgm:prSet/>
      <dgm:spPr/>
      <dgm:t>
        <a:bodyPr/>
        <a:lstStyle/>
        <a:p>
          <a:endParaRPr lang="en-US"/>
        </a:p>
      </dgm:t>
    </dgm:pt>
    <dgm:pt modelId="{95366100-45A1-9043-9971-6C498D5A61BF}">
      <dgm:prSet/>
      <dgm:spPr>
        <a:ln>
          <a:prstDash val="dash"/>
        </a:ln>
      </dgm:spPr>
      <dgm:t>
        <a:bodyPr/>
        <a:lstStyle/>
        <a:p>
          <a:r>
            <a:rPr lang="en-US"/>
            <a:t>Ebaid, Ahmed   Associate, SW  Engineer</a:t>
          </a:r>
        </a:p>
      </dgm:t>
    </dgm:pt>
    <dgm:pt modelId="{DEC6CF57-D782-3C41-B9F9-34A4E20BB27C}" type="parTrans" cxnId="{DFE51B7D-6C59-C840-AF60-1694C7080791}">
      <dgm:prSet/>
      <dgm:spPr/>
      <dgm:t>
        <a:bodyPr/>
        <a:lstStyle/>
        <a:p>
          <a:endParaRPr lang="en-US"/>
        </a:p>
      </dgm:t>
    </dgm:pt>
    <dgm:pt modelId="{03465A1B-06C0-BD47-8AC0-F9D39995B1E7}" type="sibTrans" cxnId="{DFE51B7D-6C59-C840-AF60-1694C7080791}">
      <dgm:prSet/>
      <dgm:spPr/>
      <dgm:t>
        <a:bodyPr/>
        <a:lstStyle/>
        <a:p>
          <a:endParaRPr lang="en-US"/>
        </a:p>
      </dgm:t>
    </dgm:pt>
    <dgm:pt modelId="{8D842019-2856-4648-ABDC-DCE3C59E21AC}">
      <dgm:prSet/>
      <dgm:spPr>
        <a:ln>
          <a:prstDash val="dash"/>
        </a:ln>
      </dgm:spPr>
      <dgm:t>
        <a:bodyPr/>
        <a:lstStyle/>
        <a:p>
          <a:r>
            <a:rPr lang="en-US"/>
            <a:t>Leich, Alex    Associate, SW Engineer</a:t>
          </a:r>
        </a:p>
      </dgm:t>
    </dgm:pt>
    <dgm:pt modelId="{D68FAA4F-3DB5-9548-936D-6CED84E179B1}" type="parTrans" cxnId="{66FC742C-8B3E-D741-B2A5-9AB6528BD183}">
      <dgm:prSet/>
      <dgm:spPr/>
      <dgm:t>
        <a:bodyPr/>
        <a:lstStyle/>
        <a:p>
          <a:endParaRPr lang="en-US"/>
        </a:p>
      </dgm:t>
    </dgm:pt>
    <dgm:pt modelId="{7F38F81B-CD93-2D4D-BD81-FA7ADDF217D3}" type="sibTrans" cxnId="{66FC742C-8B3E-D741-B2A5-9AB6528BD183}">
      <dgm:prSet/>
      <dgm:spPr/>
      <dgm:t>
        <a:bodyPr/>
        <a:lstStyle/>
        <a:p>
          <a:endParaRPr lang="en-US"/>
        </a:p>
      </dgm:t>
    </dgm:pt>
    <dgm:pt modelId="{85A7E419-7E13-49BF-BE18-787380B915B1}">
      <dgm:prSet/>
      <dgm:spPr/>
      <dgm:t>
        <a:bodyPr/>
        <a:lstStyle/>
        <a:p>
          <a:r>
            <a:rPr lang="en-US"/>
            <a:t>Diehl, Jordan    Associate, SW Engineer</a:t>
          </a:r>
        </a:p>
      </dgm:t>
    </dgm:pt>
    <dgm:pt modelId="{EB4A5AE6-FAA4-4EF9-B79E-8E70F3762B92}" type="parTrans" cxnId="{2A5D9BD2-3B23-4AE8-B1C2-F5846012E3EA}">
      <dgm:prSet/>
      <dgm:spPr/>
      <dgm:t>
        <a:bodyPr/>
        <a:lstStyle/>
        <a:p>
          <a:endParaRPr lang="en-US"/>
        </a:p>
      </dgm:t>
    </dgm:pt>
    <dgm:pt modelId="{A7A899A7-25A4-450C-92AD-89B4D2278F80}" type="sibTrans" cxnId="{2A5D9BD2-3B23-4AE8-B1C2-F5846012E3EA}">
      <dgm:prSet/>
      <dgm:spPr/>
      <dgm:t>
        <a:bodyPr/>
        <a:lstStyle/>
        <a:p>
          <a:endParaRPr lang="en-US"/>
        </a:p>
      </dgm:t>
    </dgm:pt>
    <dgm:pt modelId="{FB5CECAC-F592-4EF9-9EC0-3816895921F6}" type="pres">
      <dgm:prSet presAssocID="{326E41BE-4754-47F8-A827-BBC37D251A0F}" presName="diagram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5F1CE34D-4AD4-40D9-9A6B-528DDA337C06}" type="pres">
      <dgm:prSet presAssocID="{9C451123-527E-4107-B6F1-1AA8E171AB87}" presName="root" presStyleCnt="0"/>
      <dgm:spPr/>
      <dgm:t>
        <a:bodyPr/>
        <a:lstStyle/>
        <a:p>
          <a:endParaRPr lang="en-US"/>
        </a:p>
      </dgm:t>
    </dgm:pt>
    <dgm:pt modelId="{18703736-DE56-445F-B988-F4936B6574A3}" type="pres">
      <dgm:prSet presAssocID="{9C451123-527E-4107-B6F1-1AA8E171AB87}" presName="rootComposite" presStyleCnt="0"/>
      <dgm:spPr/>
      <dgm:t>
        <a:bodyPr/>
        <a:lstStyle/>
        <a:p>
          <a:endParaRPr lang="en-US"/>
        </a:p>
      </dgm:t>
    </dgm:pt>
    <dgm:pt modelId="{9EA9F8C6-89E4-4311-AF9B-8E073D5CCF30}" type="pres">
      <dgm:prSet presAssocID="{9C451123-527E-4107-B6F1-1AA8E171AB87}" presName="rootText" presStyleLbl="node1" presStyleIdx="0" presStyleCnt="12"/>
      <dgm:spPr/>
      <dgm:t>
        <a:bodyPr/>
        <a:lstStyle/>
        <a:p>
          <a:endParaRPr lang="en-US"/>
        </a:p>
      </dgm:t>
    </dgm:pt>
    <dgm:pt modelId="{923D04DC-930C-4AFB-BC3C-CB39A5F1CF1D}" type="pres">
      <dgm:prSet presAssocID="{9C451123-527E-4107-B6F1-1AA8E171AB87}" presName="rootConnector" presStyleLbl="node1" presStyleIdx="0" presStyleCnt="12"/>
      <dgm:spPr/>
      <dgm:t>
        <a:bodyPr/>
        <a:lstStyle/>
        <a:p>
          <a:endParaRPr lang="en-US"/>
        </a:p>
      </dgm:t>
    </dgm:pt>
    <dgm:pt modelId="{D24980F5-3D06-4AB1-8D02-9EA136F2DC29}" type="pres">
      <dgm:prSet presAssocID="{9C451123-527E-4107-B6F1-1AA8E171AB87}" presName="childShape" presStyleCnt="0"/>
      <dgm:spPr/>
      <dgm:t>
        <a:bodyPr/>
        <a:lstStyle/>
        <a:p>
          <a:endParaRPr lang="en-US"/>
        </a:p>
      </dgm:t>
    </dgm:pt>
    <dgm:pt modelId="{0C7ED6AA-63A2-487E-A236-F89162EC8C34}" type="pres">
      <dgm:prSet presAssocID="{3B59CA56-1B18-4ED6-AA08-35CEEF3DEE62}" presName="Name13" presStyleLbl="parChTrans1D2" presStyleIdx="0" presStyleCnt="84"/>
      <dgm:spPr/>
      <dgm:t>
        <a:bodyPr/>
        <a:lstStyle/>
        <a:p>
          <a:endParaRPr lang="en-US"/>
        </a:p>
      </dgm:t>
    </dgm:pt>
    <dgm:pt modelId="{2EEC4A18-4CC0-43EB-BCB7-156A23926C15}" type="pres">
      <dgm:prSet presAssocID="{4AD68944-C1C5-42AA-84BC-C72222A3E4B8}" presName="childText" presStyleLbl="bgAcc1" presStyleIdx="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899B8B5-E16D-4FD7-8833-71B2A8C750F5}" type="pres">
      <dgm:prSet presAssocID="{3AF9EF6A-40A3-4772-BED2-15C9CA54C500}" presName="Name13" presStyleLbl="parChTrans1D2" presStyleIdx="1" presStyleCnt="84"/>
      <dgm:spPr/>
      <dgm:t>
        <a:bodyPr/>
        <a:lstStyle/>
        <a:p>
          <a:endParaRPr lang="en-US"/>
        </a:p>
      </dgm:t>
    </dgm:pt>
    <dgm:pt modelId="{CD905090-E9B1-46FD-9B88-7375A71A36DA}" type="pres">
      <dgm:prSet presAssocID="{AD653B30-F7CA-4FA3-B190-55C86475A69B}" presName="childText" presStyleLbl="bgAcc1" presStyleIdx="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EC53097-B7E8-0145-9E0F-DE0F2AA0C9D3}" type="pres">
      <dgm:prSet presAssocID="{58A42467-109A-1C41-B675-373A749A3EC5}" presName="Name13" presStyleLbl="parChTrans1D2" presStyleIdx="2" presStyleCnt="84"/>
      <dgm:spPr/>
      <dgm:t>
        <a:bodyPr/>
        <a:lstStyle/>
        <a:p>
          <a:endParaRPr lang="en-US"/>
        </a:p>
      </dgm:t>
    </dgm:pt>
    <dgm:pt modelId="{DE1A6646-27FB-E84A-8B59-4DFDCE5E185D}" type="pres">
      <dgm:prSet presAssocID="{3941A3DF-8B6D-714C-9471-2F8F757FE3CB}" presName="childText" presStyleLbl="bgAcc1" presStyleIdx="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EFA0B18-764C-CF4E-A859-6A51F88D6BDA}" type="pres">
      <dgm:prSet presAssocID="{0B948A8D-506C-AC43-A2F4-ED9BF0E03C60}" presName="Name13" presStyleLbl="parChTrans1D2" presStyleIdx="3" presStyleCnt="84"/>
      <dgm:spPr/>
      <dgm:t>
        <a:bodyPr/>
        <a:lstStyle/>
        <a:p>
          <a:endParaRPr lang="en-US"/>
        </a:p>
      </dgm:t>
    </dgm:pt>
    <dgm:pt modelId="{B36F7E2B-7B37-D74E-8C97-4E7674AD95CE}" type="pres">
      <dgm:prSet presAssocID="{759834C1-12ED-A046-8966-60150A56989A}" presName="childText" presStyleLbl="bgAcc1" presStyleIdx="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FCB0BD6-34BC-471A-9F5D-908F6B4EB85A}" type="pres">
      <dgm:prSet presAssocID="{C5858850-D638-44C1-8D22-3F275C640E8D}" presName="Name13" presStyleLbl="parChTrans1D2" presStyleIdx="4" presStyleCnt="84"/>
      <dgm:spPr/>
      <dgm:t>
        <a:bodyPr/>
        <a:lstStyle/>
        <a:p>
          <a:endParaRPr lang="en-US"/>
        </a:p>
      </dgm:t>
    </dgm:pt>
    <dgm:pt modelId="{ABF50D47-F87A-4BD6-8F7C-25A9784894B3}" type="pres">
      <dgm:prSet presAssocID="{E97EFC66-2490-47D5-B913-6B93BFCC4350}" presName="childText" presStyleLbl="bgAcc1" presStyleIdx="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B5F318E-3FDA-4636-B775-83978B34E623}" type="pres">
      <dgm:prSet presAssocID="{CAD399B2-9D81-4DFA-8EB4-91500913E0AE}" presName="Name13" presStyleLbl="parChTrans1D2" presStyleIdx="5" presStyleCnt="84"/>
      <dgm:spPr/>
      <dgm:t>
        <a:bodyPr/>
        <a:lstStyle/>
        <a:p>
          <a:endParaRPr lang="en-US"/>
        </a:p>
      </dgm:t>
    </dgm:pt>
    <dgm:pt modelId="{E91DA76E-E8B5-4DE3-858D-4466E8337ACD}" type="pres">
      <dgm:prSet presAssocID="{EFFAE782-446C-481D-8962-C2D5A068A60E}" presName="childText" presStyleLbl="bgAcc1" presStyleIdx="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2400304-2C2B-40AA-87ED-2A2E9570870E}" type="pres">
      <dgm:prSet presAssocID="{65CC8946-E5D8-40CD-8953-BA95D427BA98}" presName="Name13" presStyleLbl="parChTrans1D2" presStyleIdx="6" presStyleCnt="84"/>
      <dgm:spPr/>
      <dgm:t>
        <a:bodyPr/>
        <a:lstStyle/>
        <a:p>
          <a:endParaRPr lang="en-US"/>
        </a:p>
      </dgm:t>
    </dgm:pt>
    <dgm:pt modelId="{5EF1CBE8-9305-4D19-9DA9-6980C2EE2ADA}" type="pres">
      <dgm:prSet presAssocID="{6ED38035-E064-4876-911B-DF2B1DD7759A}" presName="childText" presStyleLbl="bgAcc1" presStyleIdx="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2743F39-4F92-4C4D-B4F1-8B59A974E49B}" type="pres">
      <dgm:prSet presAssocID="{401546A4-099F-4542-A53C-DD3F622B4554}" presName="Name13" presStyleLbl="parChTrans1D2" presStyleIdx="7" presStyleCnt="84"/>
      <dgm:spPr/>
      <dgm:t>
        <a:bodyPr/>
        <a:lstStyle/>
        <a:p>
          <a:endParaRPr lang="en-US"/>
        </a:p>
      </dgm:t>
    </dgm:pt>
    <dgm:pt modelId="{BF0DE2EF-DB33-47F2-BD80-8CEE4B1C4496}" type="pres">
      <dgm:prSet presAssocID="{1253B96C-DDFE-4160-9DF8-BA961DFD0BAB}" presName="childText" presStyleLbl="bgAcc1" presStyleIdx="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BE7ABB4-27CD-4686-84EE-772895C14336}" type="pres">
      <dgm:prSet presAssocID="{D8654678-09C6-4E4F-8F33-30B494071DA8}" presName="Name13" presStyleLbl="parChTrans1D2" presStyleIdx="8" presStyleCnt="84"/>
      <dgm:spPr/>
      <dgm:t>
        <a:bodyPr/>
        <a:lstStyle/>
        <a:p>
          <a:endParaRPr lang="en-US"/>
        </a:p>
      </dgm:t>
    </dgm:pt>
    <dgm:pt modelId="{9AA3A743-C1EA-458A-AF84-69EAA6508F13}" type="pres">
      <dgm:prSet presAssocID="{A3B90DE9-F0BD-4A4B-863B-5E37D634AAB2}" presName="childText" presStyleLbl="bgAcc1" presStyleIdx="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6FBEF3B-D14F-4C45-8D40-7713014C6A12}" type="pres">
      <dgm:prSet presAssocID="{0DD9E40F-1942-4448-8FBE-AF0A7D5F6683}" presName="Name13" presStyleLbl="parChTrans1D2" presStyleIdx="9" presStyleCnt="84"/>
      <dgm:spPr/>
      <dgm:t>
        <a:bodyPr/>
        <a:lstStyle/>
        <a:p>
          <a:endParaRPr lang="en-US"/>
        </a:p>
      </dgm:t>
    </dgm:pt>
    <dgm:pt modelId="{A69D4215-CADA-4DB9-8F4D-A82529A9EC10}" type="pres">
      <dgm:prSet presAssocID="{69479F0F-604D-4946-AA95-6B15C1659DE1}" presName="childText" presStyleLbl="bgAcc1" presStyleIdx="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4ED3D4-C555-4851-9801-AB9FC9A51698}" type="pres">
      <dgm:prSet presAssocID="{FD4ADFCF-C137-4A9E-8B8B-6644456E56A1}" presName="Name13" presStyleLbl="parChTrans1D2" presStyleIdx="10" presStyleCnt="84"/>
      <dgm:spPr/>
      <dgm:t>
        <a:bodyPr/>
        <a:lstStyle/>
        <a:p>
          <a:endParaRPr lang="en-US"/>
        </a:p>
      </dgm:t>
    </dgm:pt>
    <dgm:pt modelId="{9096320E-5366-4DFE-A689-C16B2E8CB0E9}" type="pres">
      <dgm:prSet presAssocID="{9504B6B4-DDAD-4AB1-9CA3-B46CB2A69EC6}" presName="childText" presStyleLbl="bgAcc1" presStyleIdx="1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7F6797-C73B-4DE4-B551-5B90CAFC6887}" type="pres">
      <dgm:prSet presAssocID="{4D5F6063-6740-4B19-8760-1B1FF22EC239}" presName="root" presStyleCnt="0"/>
      <dgm:spPr/>
      <dgm:t>
        <a:bodyPr/>
        <a:lstStyle/>
        <a:p>
          <a:endParaRPr lang="en-US"/>
        </a:p>
      </dgm:t>
    </dgm:pt>
    <dgm:pt modelId="{FDC8DCEE-DAC6-492F-A12E-4D3C1F9628AD}" type="pres">
      <dgm:prSet presAssocID="{4D5F6063-6740-4B19-8760-1B1FF22EC239}" presName="rootComposite" presStyleCnt="0"/>
      <dgm:spPr/>
      <dgm:t>
        <a:bodyPr/>
        <a:lstStyle/>
        <a:p>
          <a:endParaRPr lang="en-US"/>
        </a:p>
      </dgm:t>
    </dgm:pt>
    <dgm:pt modelId="{BE263809-3046-4D93-93BA-883790AA0D29}" type="pres">
      <dgm:prSet presAssocID="{4D5F6063-6740-4B19-8760-1B1FF22EC239}" presName="rootText" presStyleLbl="node1" presStyleIdx="1" presStyleCnt="12"/>
      <dgm:spPr/>
      <dgm:t>
        <a:bodyPr/>
        <a:lstStyle/>
        <a:p>
          <a:endParaRPr lang="en-US"/>
        </a:p>
      </dgm:t>
    </dgm:pt>
    <dgm:pt modelId="{081FD966-E32F-4E03-9017-FF9B492E94AE}" type="pres">
      <dgm:prSet presAssocID="{4D5F6063-6740-4B19-8760-1B1FF22EC239}" presName="rootConnector" presStyleLbl="node1" presStyleIdx="1" presStyleCnt="12"/>
      <dgm:spPr/>
      <dgm:t>
        <a:bodyPr/>
        <a:lstStyle/>
        <a:p>
          <a:endParaRPr lang="en-US"/>
        </a:p>
      </dgm:t>
    </dgm:pt>
    <dgm:pt modelId="{0F5D8EE0-7E3D-453B-BFD9-6A39E4DE6887}" type="pres">
      <dgm:prSet presAssocID="{4D5F6063-6740-4B19-8760-1B1FF22EC239}" presName="childShape" presStyleCnt="0"/>
      <dgm:spPr/>
      <dgm:t>
        <a:bodyPr/>
        <a:lstStyle/>
        <a:p>
          <a:endParaRPr lang="en-US"/>
        </a:p>
      </dgm:t>
    </dgm:pt>
    <dgm:pt modelId="{DC572B6E-F658-4072-8BA1-252E63393B46}" type="pres">
      <dgm:prSet presAssocID="{B06EEAC7-2679-41F6-88D4-5EF5D94B4A8C}" presName="Name13" presStyleLbl="parChTrans1D2" presStyleIdx="11" presStyleCnt="84"/>
      <dgm:spPr/>
      <dgm:t>
        <a:bodyPr/>
        <a:lstStyle/>
        <a:p>
          <a:endParaRPr lang="en-US"/>
        </a:p>
      </dgm:t>
    </dgm:pt>
    <dgm:pt modelId="{DB1CD593-3CB5-4185-B306-A644E64CBA75}" type="pres">
      <dgm:prSet presAssocID="{D066FF6B-FA91-49B1-A0D1-337F57DB7CEA}" presName="childText" presStyleLbl="bgAcc1" presStyleIdx="1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B03186D-EBEB-46CE-B98A-77DCB5DECCEC}" type="pres">
      <dgm:prSet presAssocID="{CDEDE2BA-D018-4405-9C34-FAABB00F2F01}" presName="Name13" presStyleLbl="parChTrans1D2" presStyleIdx="12" presStyleCnt="84"/>
      <dgm:spPr/>
      <dgm:t>
        <a:bodyPr/>
        <a:lstStyle/>
        <a:p>
          <a:endParaRPr lang="en-US"/>
        </a:p>
      </dgm:t>
    </dgm:pt>
    <dgm:pt modelId="{ADBC6EA6-470B-4373-B3EB-E4C93D572B9D}" type="pres">
      <dgm:prSet presAssocID="{F918369B-5BCE-4871-951B-D3798E267777}" presName="childText" presStyleLbl="bgAcc1" presStyleIdx="1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C621D91-B256-4D40-997C-054F2D74C22D}" type="pres">
      <dgm:prSet presAssocID="{1C0466E1-1A1C-4E29-9FFA-46C52D359124}" presName="Name13" presStyleLbl="parChTrans1D2" presStyleIdx="13" presStyleCnt="84"/>
      <dgm:spPr/>
      <dgm:t>
        <a:bodyPr/>
        <a:lstStyle/>
        <a:p>
          <a:endParaRPr lang="en-US"/>
        </a:p>
      </dgm:t>
    </dgm:pt>
    <dgm:pt modelId="{8093AA2F-EF68-4EB0-888A-BB31D9E21C33}" type="pres">
      <dgm:prSet presAssocID="{D554594B-919A-459A-B026-8131C994B0BB}" presName="childText" presStyleLbl="bgAcc1" presStyleIdx="1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513A539-73EC-5545-B853-532E24248A08}" type="pres">
      <dgm:prSet presAssocID="{1FE679B8-590B-EE4C-8FF7-8C2BA7991E2F}" presName="Name13" presStyleLbl="parChTrans1D2" presStyleIdx="14" presStyleCnt="84"/>
      <dgm:spPr/>
      <dgm:t>
        <a:bodyPr/>
        <a:lstStyle/>
        <a:p>
          <a:endParaRPr lang="en-US"/>
        </a:p>
      </dgm:t>
    </dgm:pt>
    <dgm:pt modelId="{77B6CE28-9638-3B4A-8C2A-4E1DDAB4996B}" type="pres">
      <dgm:prSet presAssocID="{6ED13C29-A9CD-6D42-94B0-F2598ECF76D8}" presName="childText" presStyleLbl="bgAcc1" presStyleIdx="1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D712024-DC5D-47A5-B593-2644C6CD09D7}" type="pres">
      <dgm:prSet presAssocID="{5EC466CF-51A7-4533-969E-29F63EBFC63F}" presName="Name13" presStyleLbl="parChTrans1D2" presStyleIdx="15" presStyleCnt="84"/>
      <dgm:spPr/>
      <dgm:t>
        <a:bodyPr/>
        <a:lstStyle/>
        <a:p>
          <a:endParaRPr lang="en-US"/>
        </a:p>
      </dgm:t>
    </dgm:pt>
    <dgm:pt modelId="{E25F78AC-D9A3-4527-A081-69508D879332}" type="pres">
      <dgm:prSet presAssocID="{F424D584-F615-4491-8634-2300C420E9BE}" presName="childText" presStyleLbl="bgAcc1" presStyleIdx="1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20F705C-7E91-4A59-8F2F-021DD26C886F}" type="pres">
      <dgm:prSet presAssocID="{AE3D3918-85D2-4890-865F-398CDB1045D0}" presName="Name13" presStyleLbl="parChTrans1D2" presStyleIdx="16" presStyleCnt="84"/>
      <dgm:spPr/>
      <dgm:t>
        <a:bodyPr/>
        <a:lstStyle/>
        <a:p>
          <a:endParaRPr lang="en-US"/>
        </a:p>
      </dgm:t>
    </dgm:pt>
    <dgm:pt modelId="{5CC53F28-2877-439D-B8CE-A96A7BDFC642}" type="pres">
      <dgm:prSet presAssocID="{7B3F7E08-9193-41EA-952C-E79BD4AD865E}" presName="childText" presStyleLbl="bgAcc1" presStyleIdx="1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8541E0C-F6D5-4B13-AFD8-F1F794D590D2}" type="pres">
      <dgm:prSet presAssocID="{7C0702BD-C077-440A-BD28-34943EED0574}" presName="Name13" presStyleLbl="parChTrans1D2" presStyleIdx="17" presStyleCnt="84"/>
      <dgm:spPr/>
      <dgm:t>
        <a:bodyPr/>
        <a:lstStyle/>
        <a:p>
          <a:endParaRPr lang="en-US"/>
        </a:p>
      </dgm:t>
    </dgm:pt>
    <dgm:pt modelId="{6DC3E65F-26C0-4C3E-A44E-F40A359E1ADB}" type="pres">
      <dgm:prSet presAssocID="{D4B407F5-486D-4B7A-A472-04A31EE0FADD}" presName="childText" presStyleLbl="bgAcc1" presStyleIdx="1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85C097D-160A-4D98-83F7-CB0B18FEB871}" type="pres">
      <dgm:prSet presAssocID="{A766959D-58FB-4262-A068-3E489C710311}" presName="Name13" presStyleLbl="parChTrans1D2" presStyleIdx="18" presStyleCnt="84"/>
      <dgm:spPr/>
      <dgm:t>
        <a:bodyPr/>
        <a:lstStyle/>
        <a:p>
          <a:endParaRPr lang="en-US"/>
        </a:p>
      </dgm:t>
    </dgm:pt>
    <dgm:pt modelId="{D06F4CD2-1293-4657-B454-1AC3AC45A907}" type="pres">
      <dgm:prSet presAssocID="{84F73700-D86C-400F-A1C7-02F05EA7D591}" presName="childText" presStyleLbl="bgAcc1" presStyleIdx="1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498CF6F-6510-8D4A-9C35-016FDC755DCC}" type="pres">
      <dgm:prSet presAssocID="{F2C6F392-7405-B941-AB4B-2DCF3D87E2B7}" presName="Name13" presStyleLbl="parChTrans1D2" presStyleIdx="19" presStyleCnt="84"/>
      <dgm:spPr/>
      <dgm:t>
        <a:bodyPr/>
        <a:lstStyle/>
        <a:p>
          <a:endParaRPr lang="en-US"/>
        </a:p>
      </dgm:t>
    </dgm:pt>
    <dgm:pt modelId="{223640DF-E747-2D43-9BC1-5C922FDA3806}" type="pres">
      <dgm:prSet presAssocID="{3B97A161-BFA6-BC44-BA8C-461E9E3BB0AE}" presName="childText" presStyleLbl="bgAcc1" presStyleIdx="1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7680E8A-C14C-4D14-A4AF-CC1DF587CE00}" type="pres">
      <dgm:prSet presAssocID="{9E91244B-394B-4282-B1B9-5397BB35FD94}" presName="root" presStyleCnt="0"/>
      <dgm:spPr/>
      <dgm:t>
        <a:bodyPr/>
        <a:lstStyle/>
        <a:p>
          <a:endParaRPr lang="en-US"/>
        </a:p>
      </dgm:t>
    </dgm:pt>
    <dgm:pt modelId="{CE5DE197-57B6-41B7-A151-4F5A43CE316A}" type="pres">
      <dgm:prSet presAssocID="{9E91244B-394B-4282-B1B9-5397BB35FD94}" presName="rootComposite" presStyleCnt="0"/>
      <dgm:spPr/>
      <dgm:t>
        <a:bodyPr/>
        <a:lstStyle/>
        <a:p>
          <a:endParaRPr lang="en-US"/>
        </a:p>
      </dgm:t>
    </dgm:pt>
    <dgm:pt modelId="{CB689C48-1483-4053-A81A-A0010197B91B}" type="pres">
      <dgm:prSet presAssocID="{9E91244B-394B-4282-B1B9-5397BB35FD94}" presName="rootText" presStyleLbl="node1" presStyleIdx="2" presStyleCnt="12"/>
      <dgm:spPr/>
      <dgm:t>
        <a:bodyPr/>
        <a:lstStyle/>
        <a:p>
          <a:endParaRPr lang="en-US"/>
        </a:p>
      </dgm:t>
    </dgm:pt>
    <dgm:pt modelId="{A70BCE07-3389-4E7E-9611-1EF39A1DD0D4}" type="pres">
      <dgm:prSet presAssocID="{9E91244B-394B-4282-B1B9-5397BB35FD94}" presName="rootConnector" presStyleLbl="node1" presStyleIdx="2" presStyleCnt="12"/>
      <dgm:spPr/>
      <dgm:t>
        <a:bodyPr/>
        <a:lstStyle/>
        <a:p>
          <a:endParaRPr lang="en-US"/>
        </a:p>
      </dgm:t>
    </dgm:pt>
    <dgm:pt modelId="{7A145BC9-9F24-46F0-9D58-678BD985E63F}" type="pres">
      <dgm:prSet presAssocID="{9E91244B-394B-4282-B1B9-5397BB35FD94}" presName="childShape" presStyleCnt="0"/>
      <dgm:spPr/>
      <dgm:t>
        <a:bodyPr/>
        <a:lstStyle/>
        <a:p>
          <a:endParaRPr lang="en-US"/>
        </a:p>
      </dgm:t>
    </dgm:pt>
    <dgm:pt modelId="{E5141CE0-03B2-4833-A005-F337582B6D45}" type="pres">
      <dgm:prSet presAssocID="{EB4A5AE6-FAA4-4EF9-B79E-8E70F3762B92}" presName="Name13" presStyleLbl="parChTrans1D2" presStyleIdx="20" presStyleCnt="84"/>
      <dgm:spPr/>
      <dgm:t>
        <a:bodyPr/>
        <a:lstStyle/>
        <a:p>
          <a:endParaRPr lang="en-US"/>
        </a:p>
      </dgm:t>
    </dgm:pt>
    <dgm:pt modelId="{0AC4C2F6-59F9-4494-A233-B3F9FC22F222}" type="pres">
      <dgm:prSet presAssocID="{85A7E419-7E13-49BF-BE18-787380B915B1}" presName="childText" presStyleLbl="bgAcc1" presStyleIdx="2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08D204B-DFF8-4739-9249-C2E499A6036A}" type="pres">
      <dgm:prSet presAssocID="{0FBEF303-051B-4399-B536-5B3E42B2C063}" presName="Name13" presStyleLbl="parChTrans1D2" presStyleIdx="21" presStyleCnt="84"/>
      <dgm:spPr/>
      <dgm:t>
        <a:bodyPr/>
        <a:lstStyle/>
        <a:p>
          <a:endParaRPr lang="en-US"/>
        </a:p>
      </dgm:t>
    </dgm:pt>
    <dgm:pt modelId="{815B10D4-95BD-425D-801E-86460A4B8AB0}" type="pres">
      <dgm:prSet presAssocID="{F32D0024-841D-4CF3-B5CB-3AC28252AE03}" presName="childText" presStyleLbl="bgAcc1" presStyleIdx="2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99D6599-C75A-4064-942A-4C856C081137}" type="pres">
      <dgm:prSet presAssocID="{9A7C9913-0801-4137-82B4-FCBDF466B336}" presName="Name13" presStyleLbl="parChTrans1D2" presStyleIdx="22" presStyleCnt="84"/>
      <dgm:spPr/>
      <dgm:t>
        <a:bodyPr/>
        <a:lstStyle/>
        <a:p>
          <a:endParaRPr lang="en-US"/>
        </a:p>
      </dgm:t>
    </dgm:pt>
    <dgm:pt modelId="{4ED3B95B-3A76-4B68-A046-5A7B66E64246}" type="pres">
      <dgm:prSet presAssocID="{6EBB9998-2943-4054-8B5A-F3C929870EC9}" presName="childText" presStyleLbl="bgAcc1" presStyleIdx="2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2D2B523-0BED-43DF-A699-6F3C346F0F48}" type="pres">
      <dgm:prSet presAssocID="{3ABC58F0-18B0-410B-BB69-F8AB34AD54D6}" presName="Name13" presStyleLbl="parChTrans1D2" presStyleIdx="23" presStyleCnt="84"/>
      <dgm:spPr/>
      <dgm:t>
        <a:bodyPr/>
        <a:lstStyle/>
        <a:p>
          <a:endParaRPr lang="en-US"/>
        </a:p>
      </dgm:t>
    </dgm:pt>
    <dgm:pt modelId="{D2D774DE-9D7D-43CD-B613-6C770A14CF9D}" type="pres">
      <dgm:prSet presAssocID="{1F93073F-A891-4081-B936-134E3E38E97B}" presName="childText" presStyleLbl="bgAcc1" presStyleIdx="2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346D697-835D-4542-B356-4841923421FE}" type="pres">
      <dgm:prSet presAssocID="{3E6B1AF7-9B8E-4B2C-8375-9C760935F6C3}" presName="Name13" presStyleLbl="parChTrans1D2" presStyleIdx="24" presStyleCnt="84"/>
      <dgm:spPr/>
      <dgm:t>
        <a:bodyPr/>
        <a:lstStyle/>
        <a:p>
          <a:endParaRPr lang="en-US"/>
        </a:p>
      </dgm:t>
    </dgm:pt>
    <dgm:pt modelId="{DC2B96FF-B2BF-4304-9BAC-6BFEB7799D43}" type="pres">
      <dgm:prSet presAssocID="{C8D04788-7D53-4117-AC36-C3D8B280F7A9}" presName="childText" presStyleLbl="bgAcc1" presStyleIdx="2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F51B5D0-BAEE-4A9C-9228-32A7D692E2B4}" type="pres">
      <dgm:prSet presAssocID="{CDA0107E-9289-46DB-8871-95556161102C}" presName="Name13" presStyleLbl="parChTrans1D2" presStyleIdx="25" presStyleCnt="84"/>
      <dgm:spPr/>
      <dgm:t>
        <a:bodyPr/>
        <a:lstStyle/>
        <a:p>
          <a:endParaRPr lang="en-US"/>
        </a:p>
      </dgm:t>
    </dgm:pt>
    <dgm:pt modelId="{69A0A544-CBD6-4051-95CB-8A5E7BD188AA}" type="pres">
      <dgm:prSet presAssocID="{2B98C6EE-C0F4-4F92-9117-BEECC692FE7B}" presName="childText" presStyleLbl="bgAcc1" presStyleIdx="2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FF62E1-506E-4172-9425-BE947AC0D81F}" type="pres">
      <dgm:prSet presAssocID="{BBC86A5D-2C21-421A-964B-739E0F42C3AE}" presName="root" presStyleCnt="0"/>
      <dgm:spPr/>
      <dgm:t>
        <a:bodyPr/>
        <a:lstStyle/>
        <a:p>
          <a:endParaRPr lang="en-US"/>
        </a:p>
      </dgm:t>
    </dgm:pt>
    <dgm:pt modelId="{501999BE-DAA4-4F6E-8D72-EB9086834402}" type="pres">
      <dgm:prSet presAssocID="{BBC86A5D-2C21-421A-964B-739E0F42C3AE}" presName="rootComposite" presStyleCnt="0"/>
      <dgm:spPr/>
      <dgm:t>
        <a:bodyPr/>
        <a:lstStyle/>
        <a:p>
          <a:endParaRPr lang="en-US"/>
        </a:p>
      </dgm:t>
    </dgm:pt>
    <dgm:pt modelId="{486D04D2-662D-4DC2-B8FC-FA1EDF696DC0}" type="pres">
      <dgm:prSet presAssocID="{BBC86A5D-2C21-421A-964B-739E0F42C3AE}" presName="rootText" presStyleLbl="node1" presStyleIdx="3" presStyleCnt="12"/>
      <dgm:spPr/>
      <dgm:t>
        <a:bodyPr/>
        <a:lstStyle/>
        <a:p>
          <a:endParaRPr lang="en-US"/>
        </a:p>
      </dgm:t>
    </dgm:pt>
    <dgm:pt modelId="{2B390FE5-DC7F-49C9-9B1B-187488F2F310}" type="pres">
      <dgm:prSet presAssocID="{BBC86A5D-2C21-421A-964B-739E0F42C3AE}" presName="rootConnector" presStyleLbl="node1" presStyleIdx="3" presStyleCnt="12"/>
      <dgm:spPr/>
      <dgm:t>
        <a:bodyPr/>
        <a:lstStyle/>
        <a:p>
          <a:endParaRPr lang="en-US"/>
        </a:p>
      </dgm:t>
    </dgm:pt>
    <dgm:pt modelId="{E50C5D18-D2B1-41FA-ADDB-DACD36D98F0A}" type="pres">
      <dgm:prSet presAssocID="{BBC86A5D-2C21-421A-964B-739E0F42C3AE}" presName="childShape" presStyleCnt="0"/>
      <dgm:spPr/>
      <dgm:t>
        <a:bodyPr/>
        <a:lstStyle/>
        <a:p>
          <a:endParaRPr lang="en-US"/>
        </a:p>
      </dgm:t>
    </dgm:pt>
    <dgm:pt modelId="{EB4E9BFC-D34D-441A-9FA0-031B7C4B3DCF}" type="pres">
      <dgm:prSet presAssocID="{878B04D6-9922-4DEF-BBFD-1BD29219D113}" presName="Name13" presStyleLbl="parChTrans1D2" presStyleIdx="26" presStyleCnt="84"/>
      <dgm:spPr/>
      <dgm:t>
        <a:bodyPr/>
        <a:lstStyle/>
        <a:p>
          <a:endParaRPr lang="en-US"/>
        </a:p>
      </dgm:t>
    </dgm:pt>
    <dgm:pt modelId="{52D4B31C-D5A1-4379-BC27-5233934DFB13}" type="pres">
      <dgm:prSet presAssocID="{E88C1CDA-D45F-4C9D-938B-059BC98E3DCF}" presName="childText" presStyleLbl="bgAcc1" presStyleIdx="2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6412531-F51C-4E36-803F-28F834FD428B}" type="pres">
      <dgm:prSet presAssocID="{EE546B34-D563-47D4-9A01-C209D87D5B5E}" presName="Name13" presStyleLbl="parChTrans1D2" presStyleIdx="27" presStyleCnt="84"/>
      <dgm:spPr/>
      <dgm:t>
        <a:bodyPr/>
        <a:lstStyle/>
        <a:p>
          <a:endParaRPr lang="en-US"/>
        </a:p>
      </dgm:t>
    </dgm:pt>
    <dgm:pt modelId="{87C9C29D-36BC-4477-B943-D31D31D934DD}" type="pres">
      <dgm:prSet presAssocID="{9A2A1DF2-BECF-43D8-BB65-19027B0BF765}" presName="childText" presStyleLbl="bgAcc1" presStyleIdx="2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119D55F-921F-48F7-95F2-E228A814BCF1}" type="pres">
      <dgm:prSet presAssocID="{24D1337C-D0BF-4EDC-A767-48A10290CF29}" presName="Name13" presStyleLbl="parChTrans1D2" presStyleIdx="28" presStyleCnt="84"/>
      <dgm:spPr/>
      <dgm:t>
        <a:bodyPr/>
        <a:lstStyle/>
        <a:p>
          <a:endParaRPr lang="en-US"/>
        </a:p>
      </dgm:t>
    </dgm:pt>
    <dgm:pt modelId="{546502DA-F340-43EB-ABA0-6C91DC4D5DED}" type="pres">
      <dgm:prSet presAssocID="{B78621D1-521E-47F7-A519-27125B848C4D}" presName="childText" presStyleLbl="bgAcc1" presStyleIdx="2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645928-3DD2-4CF8-981F-291F84CC6062}" type="pres">
      <dgm:prSet presAssocID="{6B3F0C49-3B66-4DA1-9AA6-73C8A04B9B47}" presName="Name13" presStyleLbl="parChTrans1D2" presStyleIdx="29" presStyleCnt="84"/>
      <dgm:spPr/>
      <dgm:t>
        <a:bodyPr/>
        <a:lstStyle/>
        <a:p>
          <a:endParaRPr lang="en-US"/>
        </a:p>
      </dgm:t>
    </dgm:pt>
    <dgm:pt modelId="{CCBDB0AA-DB80-478E-A795-C7542AC8034A}" type="pres">
      <dgm:prSet presAssocID="{68FA673C-A706-4098-A8B3-EF7BC6A01C1F}" presName="childText" presStyleLbl="bgAcc1" presStyleIdx="2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10F25C1-9CCD-4BFB-B4D8-8170B3CF9E8C}" type="pres">
      <dgm:prSet presAssocID="{E5BDF06F-3ACF-4A7F-8A6C-7CD144F66C22}" presName="Name13" presStyleLbl="parChTrans1D2" presStyleIdx="30" presStyleCnt="84"/>
      <dgm:spPr/>
      <dgm:t>
        <a:bodyPr/>
        <a:lstStyle/>
        <a:p>
          <a:endParaRPr lang="en-US"/>
        </a:p>
      </dgm:t>
    </dgm:pt>
    <dgm:pt modelId="{3ECA8B0C-703B-4B96-9453-7D720D3420BA}" type="pres">
      <dgm:prSet presAssocID="{F3BB5B20-705A-49CA-A850-2E645438BF92}" presName="childText" presStyleLbl="bgAcc1" presStyleIdx="3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3083FB-7C45-4326-820F-9AB8121504D6}" type="pres">
      <dgm:prSet presAssocID="{EC85BD0C-A80C-45A6-B9FA-6F7016FD779D}" presName="Name13" presStyleLbl="parChTrans1D2" presStyleIdx="31" presStyleCnt="84"/>
      <dgm:spPr/>
      <dgm:t>
        <a:bodyPr/>
        <a:lstStyle/>
        <a:p>
          <a:endParaRPr lang="en-US"/>
        </a:p>
      </dgm:t>
    </dgm:pt>
    <dgm:pt modelId="{1D076C4F-EEC4-479F-AD10-BFFD143FF433}" type="pres">
      <dgm:prSet presAssocID="{09ABE78D-08CB-41B2-BA9B-E467D934BDD5}" presName="childText" presStyleLbl="bgAcc1" presStyleIdx="3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7DCB26E-B2F6-4E40-8BFF-2EB0CE4B1117}" type="pres">
      <dgm:prSet presAssocID="{643E8885-72B0-4407-8A01-39B7CE6760FC}" presName="Name13" presStyleLbl="parChTrans1D2" presStyleIdx="32" presStyleCnt="84"/>
      <dgm:spPr/>
      <dgm:t>
        <a:bodyPr/>
        <a:lstStyle/>
        <a:p>
          <a:endParaRPr lang="en-US"/>
        </a:p>
      </dgm:t>
    </dgm:pt>
    <dgm:pt modelId="{6AECB3D5-0D79-487C-88DE-010954F18AA7}" type="pres">
      <dgm:prSet presAssocID="{EDA4ACD6-D82F-4219-B15C-7CF7815E19A9}" presName="childText" presStyleLbl="bgAcc1" presStyleIdx="3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AACEC8D-DD24-4A91-90A7-7CF80E34898C}" type="pres">
      <dgm:prSet presAssocID="{10B16838-4B8C-4050-ACEE-C87CC26561A9}" presName="root" presStyleCnt="0"/>
      <dgm:spPr/>
      <dgm:t>
        <a:bodyPr/>
        <a:lstStyle/>
        <a:p>
          <a:endParaRPr lang="en-US"/>
        </a:p>
      </dgm:t>
    </dgm:pt>
    <dgm:pt modelId="{2365CB8B-FA02-459B-A830-C5C02278FAE6}" type="pres">
      <dgm:prSet presAssocID="{10B16838-4B8C-4050-ACEE-C87CC26561A9}" presName="rootComposite" presStyleCnt="0"/>
      <dgm:spPr/>
      <dgm:t>
        <a:bodyPr/>
        <a:lstStyle/>
        <a:p>
          <a:endParaRPr lang="en-US"/>
        </a:p>
      </dgm:t>
    </dgm:pt>
    <dgm:pt modelId="{9E6721E9-247E-47D1-9165-F93C742B8C0C}" type="pres">
      <dgm:prSet presAssocID="{10B16838-4B8C-4050-ACEE-C87CC26561A9}" presName="rootText" presStyleLbl="node1" presStyleIdx="4" presStyleCnt="12"/>
      <dgm:spPr/>
      <dgm:t>
        <a:bodyPr/>
        <a:lstStyle/>
        <a:p>
          <a:endParaRPr lang="en-US"/>
        </a:p>
      </dgm:t>
    </dgm:pt>
    <dgm:pt modelId="{2B30ED3B-9242-4D7A-B3CC-26458FC1E5F3}" type="pres">
      <dgm:prSet presAssocID="{10B16838-4B8C-4050-ACEE-C87CC26561A9}" presName="rootConnector" presStyleLbl="node1" presStyleIdx="4" presStyleCnt="12"/>
      <dgm:spPr/>
      <dgm:t>
        <a:bodyPr/>
        <a:lstStyle/>
        <a:p>
          <a:endParaRPr lang="en-US"/>
        </a:p>
      </dgm:t>
    </dgm:pt>
    <dgm:pt modelId="{107B7516-17BE-4A49-A3D5-ABF1D71D2412}" type="pres">
      <dgm:prSet presAssocID="{10B16838-4B8C-4050-ACEE-C87CC26561A9}" presName="childShape" presStyleCnt="0"/>
      <dgm:spPr/>
      <dgm:t>
        <a:bodyPr/>
        <a:lstStyle/>
        <a:p>
          <a:endParaRPr lang="en-US"/>
        </a:p>
      </dgm:t>
    </dgm:pt>
    <dgm:pt modelId="{E4D0EA6E-52D6-4FFE-801C-9179013C8832}" type="pres">
      <dgm:prSet presAssocID="{2CB9AC27-11DE-488A-AF0C-CE66563D9166}" presName="Name13" presStyleLbl="parChTrans1D2" presStyleIdx="33" presStyleCnt="84"/>
      <dgm:spPr/>
      <dgm:t>
        <a:bodyPr/>
        <a:lstStyle/>
        <a:p>
          <a:endParaRPr lang="en-US"/>
        </a:p>
      </dgm:t>
    </dgm:pt>
    <dgm:pt modelId="{1ED27A7C-B790-45D8-A68D-765DF95AC235}" type="pres">
      <dgm:prSet presAssocID="{1D85DD8E-9930-4B52-9702-EF5ADCE54994}" presName="childText" presStyleLbl="bgAcc1" presStyleIdx="3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95417D4-2D5C-4784-A46E-3FA905C97118}" type="pres">
      <dgm:prSet presAssocID="{1D7DD449-7C7F-4C27-9CA5-896C83EEA377}" presName="Name13" presStyleLbl="parChTrans1D2" presStyleIdx="34" presStyleCnt="84"/>
      <dgm:spPr/>
      <dgm:t>
        <a:bodyPr/>
        <a:lstStyle/>
        <a:p>
          <a:endParaRPr lang="en-US"/>
        </a:p>
      </dgm:t>
    </dgm:pt>
    <dgm:pt modelId="{EE88882D-B135-49A6-9E4E-F97A66EE5FED}" type="pres">
      <dgm:prSet presAssocID="{253C6671-3B4E-4211-B060-CEF3F851DC7B}" presName="childText" presStyleLbl="bgAcc1" presStyleIdx="3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16E86B3-05DE-433A-B0C7-9D6BD10DECCC}" type="pres">
      <dgm:prSet presAssocID="{8BE2B69C-82CA-4C84-80D3-DE65EC61F4FD}" presName="Name13" presStyleLbl="parChTrans1D2" presStyleIdx="35" presStyleCnt="84"/>
      <dgm:spPr/>
      <dgm:t>
        <a:bodyPr/>
        <a:lstStyle/>
        <a:p>
          <a:endParaRPr lang="en-US"/>
        </a:p>
      </dgm:t>
    </dgm:pt>
    <dgm:pt modelId="{9D56423B-0F3E-4151-97FE-74138716FF22}" type="pres">
      <dgm:prSet presAssocID="{DCC482A2-BA5F-4C23-8C83-51AA2662C1AA}" presName="childText" presStyleLbl="bgAcc1" presStyleIdx="3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8E06262-C6E4-470B-817E-11E79538D49D}" type="pres">
      <dgm:prSet presAssocID="{FED32F89-786E-4CFD-9CC9-D15261B7651C}" presName="Name13" presStyleLbl="parChTrans1D2" presStyleIdx="36" presStyleCnt="84"/>
      <dgm:spPr/>
      <dgm:t>
        <a:bodyPr/>
        <a:lstStyle/>
        <a:p>
          <a:endParaRPr lang="en-US"/>
        </a:p>
      </dgm:t>
    </dgm:pt>
    <dgm:pt modelId="{8834174C-12BB-460A-A1CD-BD2DAFC304ED}" type="pres">
      <dgm:prSet presAssocID="{77461728-C5FF-4906-AF9B-CDF51D1C5981}" presName="childText" presStyleLbl="bgAcc1" presStyleIdx="3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BDF7373-1C8B-43E6-9C25-04C4032410D5}" type="pres">
      <dgm:prSet presAssocID="{9300B2B8-EF3E-4014-8B73-A1D91584C0F3}" presName="Name13" presStyleLbl="parChTrans1D2" presStyleIdx="37" presStyleCnt="84"/>
      <dgm:spPr/>
      <dgm:t>
        <a:bodyPr/>
        <a:lstStyle/>
        <a:p>
          <a:endParaRPr lang="en-US"/>
        </a:p>
      </dgm:t>
    </dgm:pt>
    <dgm:pt modelId="{FFF86389-7383-4DD1-B86F-4AE39DE5DCE2}" type="pres">
      <dgm:prSet presAssocID="{3E026255-5AE1-42AC-8D8E-316FF0A0C137}" presName="childText" presStyleLbl="bgAcc1" presStyleIdx="3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204DBB8-3F91-46BC-9FBD-BE13DD9402CD}" type="pres">
      <dgm:prSet presAssocID="{617A7C11-ABC1-4AB5-8B80-1B70A3ACA8A0}" presName="Name13" presStyleLbl="parChTrans1D2" presStyleIdx="38" presStyleCnt="84"/>
      <dgm:spPr/>
      <dgm:t>
        <a:bodyPr/>
        <a:lstStyle/>
        <a:p>
          <a:endParaRPr lang="en-US"/>
        </a:p>
      </dgm:t>
    </dgm:pt>
    <dgm:pt modelId="{D088928E-2151-4244-8201-82336DD74D95}" type="pres">
      <dgm:prSet presAssocID="{ADB6D666-4F9A-4A19-B9DC-582D73C3F211}" presName="childText" presStyleLbl="bgAcc1" presStyleIdx="3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AF57C6A-9CCD-4B1D-B8E7-8C8E66F242D7}" type="pres">
      <dgm:prSet presAssocID="{89FAAB76-109C-4B59-BE35-12BB3CECFF28}" presName="root" presStyleCnt="0"/>
      <dgm:spPr/>
      <dgm:t>
        <a:bodyPr/>
        <a:lstStyle/>
        <a:p>
          <a:endParaRPr lang="en-US"/>
        </a:p>
      </dgm:t>
    </dgm:pt>
    <dgm:pt modelId="{5B73F865-FD9C-4175-9432-F8407BA697AE}" type="pres">
      <dgm:prSet presAssocID="{89FAAB76-109C-4B59-BE35-12BB3CECFF28}" presName="rootComposite" presStyleCnt="0"/>
      <dgm:spPr/>
      <dgm:t>
        <a:bodyPr/>
        <a:lstStyle/>
        <a:p>
          <a:endParaRPr lang="en-US"/>
        </a:p>
      </dgm:t>
    </dgm:pt>
    <dgm:pt modelId="{CAFD4DD0-0A89-4375-9D04-F23018797150}" type="pres">
      <dgm:prSet presAssocID="{89FAAB76-109C-4B59-BE35-12BB3CECFF28}" presName="rootText" presStyleLbl="node1" presStyleIdx="5" presStyleCnt="12"/>
      <dgm:spPr/>
      <dgm:t>
        <a:bodyPr/>
        <a:lstStyle/>
        <a:p>
          <a:endParaRPr lang="en-US"/>
        </a:p>
      </dgm:t>
    </dgm:pt>
    <dgm:pt modelId="{14AE5401-015A-41A3-A50E-5FC75A40B292}" type="pres">
      <dgm:prSet presAssocID="{89FAAB76-109C-4B59-BE35-12BB3CECFF28}" presName="rootConnector" presStyleLbl="node1" presStyleIdx="5" presStyleCnt="12"/>
      <dgm:spPr/>
      <dgm:t>
        <a:bodyPr/>
        <a:lstStyle/>
        <a:p>
          <a:endParaRPr lang="en-US"/>
        </a:p>
      </dgm:t>
    </dgm:pt>
    <dgm:pt modelId="{50F51E78-2D07-4185-9F51-6E0884FBD31F}" type="pres">
      <dgm:prSet presAssocID="{89FAAB76-109C-4B59-BE35-12BB3CECFF28}" presName="childShape" presStyleCnt="0"/>
      <dgm:spPr/>
      <dgm:t>
        <a:bodyPr/>
        <a:lstStyle/>
        <a:p>
          <a:endParaRPr lang="en-US"/>
        </a:p>
      </dgm:t>
    </dgm:pt>
    <dgm:pt modelId="{A50638A3-1A03-4523-89A9-9FE90215E4B8}" type="pres">
      <dgm:prSet presAssocID="{7BF7DC6A-4756-40B7-A13F-D0FD8C1A3A82}" presName="Name13" presStyleLbl="parChTrans1D2" presStyleIdx="39" presStyleCnt="84"/>
      <dgm:spPr/>
      <dgm:t>
        <a:bodyPr/>
        <a:lstStyle/>
        <a:p>
          <a:endParaRPr lang="en-US"/>
        </a:p>
      </dgm:t>
    </dgm:pt>
    <dgm:pt modelId="{8C96C606-BD91-4383-8C17-24642D58F828}" type="pres">
      <dgm:prSet presAssocID="{FC8C7653-65CE-48E9-AF57-204C4CCE7A0F}" presName="childText" presStyleLbl="bgAcc1" presStyleIdx="3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E330C29-548B-453C-A7AB-3306E81C9B8E}" type="pres">
      <dgm:prSet presAssocID="{D840A87C-CD3B-4687-A434-EF9A77B208C1}" presName="Name13" presStyleLbl="parChTrans1D2" presStyleIdx="40" presStyleCnt="84"/>
      <dgm:spPr/>
      <dgm:t>
        <a:bodyPr/>
        <a:lstStyle/>
        <a:p>
          <a:endParaRPr lang="en-US"/>
        </a:p>
      </dgm:t>
    </dgm:pt>
    <dgm:pt modelId="{CB7200DC-E2C9-4BFF-AC2E-45529D054893}" type="pres">
      <dgm:prSet presAssocID="{D43D9762-0118-4725-A88D-A9BB4F308562}" presName="childText" presStyleLbl="bgAcc1" presStyleIdx="4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2D58536-7256-4F03-A080-87009E621FD3}" type="pres">
      <dgm:prSet presAssocID="{F959AF7D-4C0F-4B9C-95F4-750778868262}" presName="Name13" presStyleLbl="parChTrans1D2" presStyleIdx="41" presStyleCnt="84"/>
      <dgm:spPr/>
      <dgm:t>
        <a:bodyPr/>
        <a:lstStyle/>
        <a:p>
          <a:endParaRPr lang="en-US"/>
        </a:p>
      </dgm:t>
    </dgm:pt>
    <dgm:pt modelId="{CD487801-7269-4A21-9901-2803CF3B3671}" type="pres">
      <dgm:prSet presAssocID="{EEC9BF3D-3678-43E3-A49D-4DC4C4B21DBB}" presName="childText" presStyleLbl="bgAcc1" presStyleIdx="4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72103B3-439E-4FD2-93AB-9EA1BEABCEFB}" type="pres">
      <dgm:prSet presAssocID="{BE2628FE-03DF-4409-9365-C1DB1B91D8AA}" presName="Name13" presStyleLbl="parChTrans1D2" presStyleIdx="42" presStyleCnt="84"/>
      <dgm:spPr/>
      <dgm:t>
        <a:bodyPr/>
        <a:lstStyle/>
        <a:p>
          <a:endParaRPr lang="en-US"/>
        </a:p>
      </dgm:t>
    </dgm:pt>
    <dgm:pt modelId="{E26B5039-D262-4724-A675-C1A0F89721F6}" type="pres">
      <dgm:prSet presAssocID="{FD9480BE-2425-421A-862C-57F89755700A}" presName="childText" presStyleLbl="bgAcc1" presStyleIdx="4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C9C46E-B716-4033-B482-7ADBB3BB9F1C}" type="pres">
      <dgm:prSet presAssocID="{7A3D7118-303D-43BD-BEBA-591D4DB3D964}" presName="Name13" presStyleLbl="parChTrans1D2" presStyleIdx="43" presStyleCnt="84"/>
      <dgm:spPr/>
      <dgm:t>
        <a:bodyPr/>
        <a:lstStyle/>
        <a:p>
          <a:endParaRPr lang="en-US"/>
        </a:p>
      </dgm:t>
    </dgm:pt>
    <dgm:pt modelId="{E8E9A0AF-F767-4A01-BA2C-22035D29DC5A}" type="pres">
      <dgm:prSet presAssocID="{961BED1F-DCFD-4DD0-9967-2BAECB94A83E}" presName="childText" presStyleLbl="bgAcc1" presStyleIdx="4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5AFD3DA-D476-40C2-AA0E-20199D0CA67E}" type="pres">
      <dgm:prSet presAssocID="{22D9C15B-BB8E-44FD-8914-4467B159F567}" presName="Name13" presStyleLbl="parChTrans1D2" presStyleIdx="44" presStyleCnt="84"/>
      <dgm:spPr/>
      <dgm:t>
        <a:bodyPr/>
        <a:lstStyle/>
        <a:p>
          <a:endParaRPr lang="en-US"/>
        </a:p>
      </dgm:t>
    </dgm:pt>
    <dgm:pt modelId="{522E8939-2ADE-4C03-8330-CB865A38FD64}" type="pres">
      <dgm:prSet presAssocID="{99443A7C-39BE-4D8F-9443-5F88C668C990}" presName="childText" presStyleLbl="bgAcc1" presStyleIdx="4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D55BDE-EEDA-4488-A12E-249AFD1CDDBE}" type="pres">
      <dgm:prSet presAssocID="{96112716-A665-4BD4-B8D9-8E1675CA3DF7}" presName="Name13" presStyleLbl="parChTrans1D2" presStyleIdx="45" presStyleCnt="84"/>
      <dgm:spPr/>
      <dgm:t>
        <a:bodyPr/>
        <a:lstStyle/>
        <a:p>
          <a:endParaRPr lang="en-US"/>
        </a:p>
      </dgm:t>
    </dgm:pt>
    <dgm:pt modelId="{488A8750-A971-4A28-B97D-6D6FC8A9FC64}" type="pres">
      <dgm:prSet presAssocID="{468470EA-FB27-4C95-A837-2AEBF10E771D}" presName="childText" presStyleLbl="bgAcc1" presStyleIdx="4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04DBC0-A95C-45BE-90D0-C1E1D5505B2C}" type="pres">
      <dgm:prSet presAssocID="{DFAC3E41-D125-477B-ACBB-FF1E6E0A45F7}" presName="Name13" presStyleLbl="parChTrans1D2" presStyleIdx="46" presStyleCnt="84"/>
      <dgm:spPr/>
      <dgm:t>
        <a:bodyPr/>
        <a:lstStyle/>
        <a:p>
          <a:endParaRPr lang="en-US"/>
        </a:p>
      </dgm:t>
    </dgm:pt>
    <dgm:pt modelId="{224F8E53-E8FB-414D-99C4-30D48557110B}" type="pres">
      <dgm:prSet presAssocID="{3110BDCA-229F-4156-8E8A-72BAC25DEBB9}" presName="childText" presStyleLbl="bgAcc1" presStyleIdx="4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DDAC401-59B8-4017-93EE-521947E1802E}" type="pres">
      <dgm:prSet presAssocID="{E36C160B-539A-454D-A28D-BBAB6D5168D1}" presName="Name13" presStyleLbl="parChTrans1D2" presStyleIdx="47" presStyleCnt="84"/>
      <dgm:spPr/>
      <dgm:t>
        <a:bodyPr/>
        <a:lstStyle/>
        <a:p>
          <a:endParaRPr lang="en-US"/>
        </a:p>
      </dgm:t>
    </dgm:pt>
    <dgm:pt modelId="{08205773-33E0-431A-9A9A-4D7884793206}" type="pres">
      <dgm:prSet presAssocID="{F8DB0C66-438C-4671-BFC2-0BADAFFE270F}" presName="childText" presStyleLbl="bgAcc1" presStyleIdx="4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9F4642B-4BBE-A441-BAC7-41C1AF08B279}" type="pres">
      <dgm:prSet presAssocID="{EECDC874-5450-C947-B592-9B7648206C76}" presName="root" presStyleCnt="0"/>
      <dgm:spPr/>
      <dgm:t>
        <a:bodyPr/>
        <a:lstStyle/>
        <a:p>
          <a:endParaRPr lang="en-US"/>
        </a:p>
      </dgm:t>
    </dgm:pt>
    <dgm:pt modelId="{24C0641A-8042-B646-B800-462247AAEC9D}" type="pres">
      <dgm:prSet presAssocID="{EECDC874-5450-C947-B592-9B7648206C76}" presName="rootComposite" presStyleCnt="0"/>
      <dgm:spPr/>
      <dgm:t>
        <a:bodyPr/>
        <a:lstStyle/>
        <a:p>
          <a:endParaRPr lang="en-US"/>
        </a:p>
      </dgm:t>
    </dgm:pt>
    <dgm:pt modelId="{64BD7327-5585-1945-AFB4-A5202E0CFCF0}" type="pres">
      <dgm:prSet presAssocID="{EECDC874-5450-C947-B592-9B7648206C76}" presName="rootText" presStyleLbl="node1" presStyleIdx="6" presStyleCnt="12"/>
      <dgm:spPr/>
      <dgm:t>
        <a:bodyPr/>
        <a:lstStyle/>
        <a:p>
          <a:endParaRPr lang="en-US"/>
        </a:p>
      </dgm:t>
    </dgm:pt>
    <dgm:pt modelId="{BEF30DB3-6086-0942-8886-ECEFDDF69247}" type="pres">
      <dgm:prSet presAssocID="{EECDC874-5450-C947-B592-9B7648206C76}" presName="rootConnector" presStyleLbl="node1" presStyleIdx="6" presStyleCnt="12"/>
      <dgm:spPr/>
      <dgm:t>
        <a:bodyPr/>
        <a:lstStyle/>
        <a:p>
          <a:endParaRPr lang="en-US"/>
        </a:p>
      </dgm:t>
    </dgm:pt>
    <dgm:pt modelId="{22E7AC96-1320-0C4E-AD82-C96596B0AD09}" type="pres">
      <dgm:prSet presAssocID="{EECDC874-5450-C947-B592-9B7648206C76}" presName="childShape" presStyleCnt="0"/>
      <dgm:spPr/>
      <dgm:t>
        <a:bodyPr/>
        <a:lstStyle/>
        <a:p>
          <a:endParaRPr lang="en-US"/>
        </a:p>
      </dgm:t>
    </dgm:pt>
    <dgm:pt modelId="{1126EACF-AB58-4FAA-9E61-DAB3F98F9750}" type="pres">
      <dgm:prSet presAssocID="{D555F7FE-8196-4F50-8B71-3E9D0EAC5B6F}" presName="Name13" presStyleLbl="parChTrans1D2" presStyleIdx="48" presStyleCnt="84"/>
      <dgm:spPr/>
      <dgm:t>
        <a:bodyPr/>
        <a:lstStyle/>
        <a:p>
          <a:endParaRPr lang="en-US"/>
        </a:p>
      </dgm:t>
    </dgm:pt>
    <dgm:pt modelId="{4BE46022-C204-40BB-97E9-471BBB51D163}" type="pres">
      <dgm:prSet presAssocID="{CE8A4B6B-F553-4483-A17D-734FD512C005}" presName="childText" presStyleLbl="bgAcc1" presStyleIdx="4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78A2920-6220-466A-ADCA-E924386EC501}" type="pres">
      <dgm:prSet presAssocID="{409575C1-DE41-45ED-BE30-062CB790AAC9}" presName="Name13" presStyleLbl="parChTrans1D2" presStyleIdx="49" presStyleCnt="84"/>
      <dgm:spPr/>
      <dgm:t>
        <a:bodyPr/>
        <a:lstStyle/>
        <a:p>
          <a:endParaRPr lang="en-US"/>
        </a:p>
      </dgm:t>
    </dgm:pt>
    <dgm:pt modelId="{CFA84F63-C3FB-4DE5-8416-AA278C1E6C47}" type="pres">
      <dgm:prSet presAssocID="{7F4754E4-698F-4321-86CA-3E41611ADE53}" presName="childText" presStyleLbl="bgAcc1" presStyleIdx="4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ED995B1-0ED0-634C-B7C3-9F8999B1239F}" type="pres">
      <dgm:prSet presAssocID="{DEC6CF57-D782-3C41-B9F9-34A4E20BB27C}" presName="Name13" presStyleLbl="parChTrans1D2" presStyleIdx="50" presStyleCnt="84"/>
      <dgm:spPr/>
      <dgm:t>
        <a:bodyPr/>
        <a:lstStyle/>
        <a:p>
          <a:endParaRPr lang="en-US"/>
        </a:p>
      </dgm:t>
    </dgm:pt>
    <dgm:pt modelId="{E5CF7FAD-C962-CB46-A751-94AA8AFD82FF}" type="pres">
      <dgm:prSet presAssocID="{95366100-45A1-9043-9971-6C498D5A61BF}" presName="childText" presStyleLbl="bgAcc1" presStyleIdx="5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49A867B-D962-9D46-80F9-FE1D8176E4D9}" type="pres">
      <dgm:prSet presAssocID="{D68FAA4F-3DB5-9548-936D-6CED84E179B1}" presName="Name13" presStyleLbl="parChTrans1D2" presStyleIdx="51" presStyleCnt="84"/>
      <dgm:spPr/>
      <dgm:t>
        <a:bodyPr/>
        <a:lstStyle/>
        <a:p>
          <a:endParaRPr lang="en-US"/>
        </a:p>
      </dgm:t>
    </dgm:pt>
    <dgm:pt modelId="{E31DAE0A-D320-9C47-85E7-84264FF73021}" type="pres">
      <dgm:prSet presAssocID="{8D842019-2856-4648-ABDC-DCE3C59E21AC}" presName="childText" presStyleLbl="bgAcc1" presStyleIdx="5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BB5B1E0-6CB9-43E9-8F03-8BE6FDA06784}" type="pres">
      <dgm:prSet presAssocID="{DE9C5063-817E-44A6-921B-644748024459}" presName="root" presStyleCnt="0"/>
      <dgm:spPr/>
      <dgm:t>
        <a:bodyPr/>
        <a:lstStyle/>
        <a:p>
          <a:endParaRPr lang="en-US"/>
        </a:p>
      </dgm:t>
    </dgm:pt>
    <dgm:pt modelId="{5127EB69-B765-4BEC-8DC0-B36DB24C4EED}" type="pres">
      <dgm:prSet presAssocID="{DE9C5063-817E-44A6-921B-644748024459}" presName="rootComposite" presStyleCnt="0"/>
      <dgm:spPr/>
      <dgm:t>
        <a:bodyPr/>
        <a:lstStyle/>
        <a:p>
          <a:endParaRPr lang="en-US"/>
        </a:p>
      </dgm:t>
    </dgm:pt>
    <dgm:pt modelId="{A9EA69FF-7457-429F-8B6C-246485873E9B}" type="pres">
      <dgm:prSet presAssocID="{DE9C5063-817E-44A6-921B-644748024459}" presName="rootText" presStyleLbl="node1" presStyleIdx="7" presStyleCnt="12"/>
      <dgm:spPr/>
      <dgm:t>
        <a:bodyPr/>
        <a:lstStyle/>
        <a:p>
          <a:endParaRPr lang="en-US"/>
        </a:p>
      </dgm:t>
    </dgm:pt>
    <dgm:pt modelId="{4C851505-02E9-4112-8E1D-0F73C74F3B27}" type="pres">
      <dgm:prSet presAssocID="{DE9C5063-817E-44A6-921B-644748024459}" presName="rootConnector" presStyleLbl="node1" presStyleIdx="7" presStyleCnt="12"/>
      <dgm:spPr/>
      <dgm:t>
        <a:bodyPr/>
        <a:lstStyle/>
        <a:p>
          <a:endParaRPr lang="en-US"/>
        </a:p>
      </dgm:t>
    </dgm:pt>
    <dgm:pt modelId="{C100B728-549D-4965-B333-9C25743A075A}" type="pres">
      <dgm:prSet presAssocID="{DE9C5063-817E-44A6-921B-644748024459}" presName="childShape" presStyleCnt="0"/>
      <dgm:spPr/>
      <dgm:t>
        <a:bodyPr/>
        <a:lstStyle/>
        <a:p>
          <a:endParaRPr lang="en-US"/>
        </a:p>
      </dgm:t>
    </dgm:pt>
    <dgm:pt modelId="{DDED2177-4E23-42E5-A406-9A1C2EB960C1}" type="pres">
      <dgm:prSet presAssocID="{BE205DB3-2BED-404D-8FE9-88B1AF6E4BCC}" presName="Name13" presStyleLbl="parChTrans1D2" presStyleIdx="52" presStyleCnt="84"/>
      <dgm:spPr/>
      <dgm:t>
        <a:bodyPr/>
        <a:lstStyle/>
        <a:p>
          <a:endParaRPr lang="en-US"/>
        </a:p>
      </dgm:t>
    </dgm:pt>
    <dgm:pt modelId="{4304132A-67E3-4DA4-B118-E9F58BD3787C}" type="pres">
      <dgm:prSet presAssocID="{66E7BA91-365D-4BE9-AF7A-3357E7D014A3}" presName="childText" presStyleLbl="bgAcc1" presStyleIdx="5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366F8B6-106D-4CA6-BBBA-63B0F219FA00}" type="pres">
      <dgm:prSet presAssocID="{073719FE-7B5A-417A-94D3-00806D468204}" presName="Name13" presStyleLbl="parChTrans1D2" presStyleIdx="53" presStyleCnt="84"/>
      <dgm:spPr/>
      <dgm:t>
        <a:bodyPr/>
        <a:lstStyle/>
        <a:p>
          <a:endParaRPr lang="en-US"/>
        </a:p>
      </dgm:t>
    </dgm:pt>
    <dgm:pt modelId="{B80407EB-3C95-4F9F-BC7D-FA93640029A0}" type="pres">
      <dgm:prSet presAssocID="{378279E8-26F3-4451-9372-279518ACF117}" presName="childText" presStyleLbl="bgAcc1" presStyleIdx="5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9092695-081E-4B33-ACB7-15DB9EE080E1}" type="pres">
      <dgm:prSet presAssocID="{84BD4DDC-2844-4ED8-9158-70D265A7203D}" presName="Name13" presStyleLbl="parChTrans1D2" presStyleIdx="54" presStyleCnt="84"/>
      <dgm:spPr/>
      <dgm:t>
        <a:bodyPr/>
        <a:lstStyle/>
        <a:p>
          <a:endParaRPr lang="en-US"/>
        </a:p>
      </dgm:t>
    </dgm:pt>
    <dgm:pt modelId="{D2494F15-BE3D-45DE-91D8-981596EDBC64}" type="pres">
      <dgm:prSet presAssocID="{A59716C7-D4B2-4CC5-8CCA-CC5FC33BF823}" presName="childText" presStyleLbl="bgAcc1" presStyleIdx="5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6552010-156F-D443-A21D-1627CC97DA88}" type="pres">
      <dgm:prSet presAssocID="{5479D00B-09C8-C74A-A350-6C9AE065486B}" presName="Name13" presStyleLbl="parChTrans1D2" presStyleIdx="55" presStyleCnt="84"/>
      <dgm:spPr/>
      <dgm:t>
        <a:bodyPr/>
        <a:lstStyle/>
        <a:p>
          <a:endParaRPr lang="en-US"/>
        </a:p>
      </dgm:t>
    </dgm:pt>
    <dgm:pt modelId="{CC1D3026-C013-8F4A-8B56-EFBDD5142B78}" type="pres">
      <dgm:prSet presAssocID="{E31B053E-A420-B647-A62F-E660345489D0}" presName="childText" presStyleLbl="bgAcc1" presStyleIdx="5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F54DA13-D29D-4B2E-AC34-BA7B76F087BC}" type="pres">
      <dgm:prSet presAssocID="{51F9D806-2EE3-4AED-8BEE-343C1D021B17}" presName="Name13" presStyleLbl="parChTrans1D2" presStyleIdx="56" presStyleCnt="84"/>
      <dgm:spPr/>
      <dgm:t>
        <a:bodyPr/>
        <a:lstStyle/>
        <a:p>
          <a:endParaRPr lang="en-US"/>
        </a:p>
      </dgm:t>
    </dgm:pt>
    <dgm:pt modelId="{EE2F0775-3BC7-42AF-8C94-751E8E6B5948}" type="pres">
      <dgm:prSet presAssocID="{3DFB50EE-047E-489F-8619-20DA49904CA3}" presName="childText" presStyleLbl="bgAcc1" presStyleIdx="5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F1E4AC6-BDB7-411A-9A75-8B0A67D3AE66}" type="pres">
      <dgm:prSet presAssocID="{415FF3D0-5F1F-4B3C-B5AC-5AE94F4B606D}" presName="Name13" presStyleLbl="parChTrans1D2" presStyleIdx="57" presStyleCnt="84"/>
      <dgm:spPr/>
      <dgm:t>
        <a:bodyPr/>
        <a:lstStyle/>
        <a:p>
          <a:endParaRPr lang="en-US"/>
        </a:p>
      </dgm:t>
    </dgm:pt>
    <dgm:pt modelId="{D6215AF5-7EF5-4A3E-852E-D7F572D5A550}" type="pres">
      <dgm:prSet presAssocID="{A5F90680-7B79-41D5-A8E6-225D31DC4B87}" presName="childText" presStyleLbl="bgAcc1" presStyleIdx="5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4903EA2-514C-481C-B77E-6EE1E1F82A01}" type="pres">
      <dgm:prSet presAssocID="{176850B5-6DEA-4471-A38D-379C3F990132}" presName="Name13" presStyleLbl="parChTrans1D2" presStyleIdx="58" presStyleCnt="84"/>
      <dgm:spPr/>
      <dgm:t>
        <a:bodyPr/>
        <a:lstStyle/>
        <a:p>
          <a:endParaRPr lang="en-US"/>
        </a:p>
      </dgm:t>
    </dgm:pt>
    <dgm:pt modelId="{C8F06C1C-14EB-4506-8BCF-EA31750E2251}" type="pres">
      <dgm:prSet presAssocID="{2F57A7C8-EAD6-417A-9963-9CD75B56D62D}" presName="childText" presStyleLbl="bgAcc1" presStyleIdx="5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C30858D-93C8-4F94-B25D-1B20B7F4DB68}" type="pres">
      <dgm:prSet presAssocID="{FAF714C7-BD6E-45EE-B02A-8102E458A745}" presName="Name13" presStyleLbl="parChTrans1D2" presStyleIdx="59" presStyleCnt="84"/>
      <dgm:spPr/>
      <dgm:t>
        <a:bodyPr/>
        <a:lstStyle/>
        <a:p>
          <a:endParaRPr lang="en-US"/>
        </a:p>
      </dgm:t>
    </dgm:pt>
    <dgm:pt modelId="{A80A02D6-01E8-4387-BE04-83862B014CA5}" type="pres">
      <dgm:prSet presAssocID="{EFB8A608-B878-4152-A395-8F6A90818889}" presName="childText" presStyleLbl="bgAcc1" presStyleIdx="5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3E8143B-A154-4601-91FA-6858962E69E6}" type="pres">
      <dgm:prSet presAssocID="{0B6EEE45-8468-47E8-9A9A-6F11FD26DF90}" presName="Name13" presStyleLbl="parChTrans1D2" presStyleIdx="60" presStyleCnt="84"/>
      <dgm:spPr/>
      <dgm:t>
        <a:bodyPr/>
        <a:lstStyle/>
        <a:p>
          <a:endParaRPr lang="en-US"/>
        </a:p>
      </dgm:t>
    </dgm:pt>
    <dgm:pt modelId="{D8CECAD0-8E25-47D0-B886-9188BCC9B84C}" type="pres">
      <dgm:prSet presAssocID="{CF166E8B-1ED3-40C5-B23E-E11E402644F7}" presName="childText" presStyleLbl="bgAcc1" presStyleIdx="6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D3CE594-EC54-46BE-9F5F-C3C7CC5DEDA6}" type="pres">
      <dgm:prSet presAssocID="{4F31E03D-D87C-467D-A7AB-D06F4642FAC0}" presName="root" presStyleCnt="0"/>
      <dgm:spPr/>
      <dgm:t>
        <a:bodyPr/>
        <a:lstStyle/>
        <a:p>
          <a:endParaRPr lang="en-US"/>
        </a:p>
      </dgm:t>
    </dgm:pt>
    <dgm:pt modelId="{29DBF783-4528-484D-809D-0C696328C143}" type="pres">
      <dgm:prSet presAssocID="{4F31E03D-D87C-467D-A7AB-D06F4642FAC0}" presName="rootComposite" presStyleCnt="0"/>
      <dgm:spPr/>
      <dgm:t>
        <a:bodyPr/>
        <a:lstStyle/>
        <a:p>
          <a:endParaRPr lang="en-US"/>
        </a:p>
      </dgm:t>
    </dgm:pt>
    <dgm:pt modelId="{270B280D-6EB8-48FE-B5A2-DD5B4EDF038B}" type="pres">
      <dgm:prSet presAssocID="{4F31E03D-D87C-467D-A7AB-D06F4642FAC0}" presName="rootText" presStyleLbl="node1" presStyleIdx="8" presStyleCnt="12"/>
      <dgm:spPr/>
      <dgm:t>
        <a:bodyPr/>
        <a:lstStyle/>
        <a:p>
          <a:endParaRPr lang="en-US"/>
        </a:p>
      </dgm:t>
    </dgm:pt>
    <dgm:pt modelId="{F720A983-BC56-44E4-AF5E-44A9C01E9E37}" type="pres">
      <dgm:prSet presAssocID="{4F31E03D-D87C-467D-A7AB-D06F4642FAC0}" presName="rootConnector" presStyleLbl="node1" presStyleIdx="8" presStyleCnt="12"/>
      <dgm:spPr/>
      <dgm:t>
        <a:bodyPr/>
        <a:lstStyle/>
        <a:p>
          <a:endParaRPr lang="en-US"/>
        </a:p>
      </dgm:t>
    </dgm:pt>
    <dgm:pt modelId="{7E57371D-4BD6-4F94-BA59-9901C760BF18}" type="pres">
      <dgm:prSet presAssocID="{4F31E03D-D87C-467D-A7AB-D06F4642FAC0}" presName="childShape" presStyleCnt="0"/>
      <dgm:spPr/>
      <dgm:t>
        <a:bodyPr/>
        <a:lstStyle/>
        <a:p>
          <a:endParaRPr lang="en-US"/>
        </a:p>
      </dgm:t>
    </dgm:pt>
    <dgm:pt modelId="{1BE45920-5317-44CD-BA9D-66FCA3285ACC}" type="pres">
      <dgm:prSet presAssocID="{A3BE2314-58C4-465A-AD86-080BA4DE73F4}" presName="Name13" presStyleLbl="parChTrans1D2" presStyleIdx="61" presStyleCnt="84"/>
      <dgm:spPr/>
      <dgm:t>
        <a:bodyPr/>
        <a:lstStyle/>
        <a:p>
          <a:endParaRPr lang="en-US"/>
        </a:p>
      </dgm:t>
    </dgm:pt>
    <dgm:pt modelId="{A89A5AC8-8959-41E5-9FCE-485A6BC8977C}" type="pres">
      <dgm:prSet presAssocID="{12C96E59-87B6-4D34-A6E6-018885628401}" presName="childText" presStyleLbl="bgAcc1" presStyleIdx="6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00C4A3C-B1B9-49ED-B627-20684CAF1B1A}" type="pres">
      <dgm:prSet presAssocID="{DAB3F220-F44A-4B0B-B6F7-499EAE491F0D}" presName="Name13" presStyleLbl="parChTrans1D2" presStyleIdx="62" presStyleCnt="84"/>
      <dgm:spPr/>
      <dgm:t>
        <a:bodyPr/>
        <a:lstStyle/>
        <a:p>
          <a:endParaRPr lang="en-US"/>
        </a:p>
      </dgm:t>
    </dgm:pt>
    <dgm:pt modelId="{A6A9A63E-9FD5-4EB2-9474-7A626171A63B}" type="pres">
      <dgm:prSet presAssocID="{275BBD9D-C392-4352-8CC5-7EF493032D38}" presName="childText" presStyleLbl="bgAcc1" presStyleIdx="6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0378BE1-AB48-A945-969A-736A44B9B881}" type="pres">
      <dgm:prSet presAssocID="{081B2C3F-C7C9-2846-9539-FEA98DF40933}" presName="Name13" presStyleLbl="parChTrans1D2" presStyleIdx="63" presStyleCnt="84"/>
      <dgm:spPr/>
      <dgm:t>
        <a:bodyPr/>
        <a:lstStyle/>
        <a:p>
          <a:endParaRPr lang="en-US"/>
        </a:p>
      </dgm:t>
    </dgm:pt>
    <dgm:pt modelId="{E440E235-FAF0-5145-BC8F-664286BB4143}" type="pres">
      <dgm:prSet presAssocID="{2C905CED-0515-1448-AA9B-1F7CAA519AE0}" presName="childText" presStyleLbl="bgAcc1" presStyleIdx="6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2B02343-3D0B-416D-AB75-C3A59F23310E}" type="pres">
      <dgm:prSet presAssocID="{0B3FE62D-F67D-47BF-8A49-D65552ED4D1C}" presName="Name13" presStyleLbl="parChTrans1D2" presStyleIdx="64" presStyleCnt="84"/>
      <dgm:spPr/>
      <dgm:t>
        <a:bodyPr/>
        <a:lstStyle/>
        <a:p>
          <a:endParaRPr lang="en-US"/>
        </a:p>
      </dgm:t>
    </dgm:pt>
    <dgm:pt modelId="{727BE799-8228-49FA-9CC5-8A63FE7EDDD5}" type="pres">
      <dgm:prSet presAssocID="{E9D948D4-27AC-4D1D-AFC8-5174D4F7B37A}" presName="childText" presStyleLbl="bgAcc1" presStyleIdx="6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5BA20F7-DC6E-42EA-BA9E-6EDE58320534}" type="pres">
      <dgm:prSet presAssocID="{0AA128CA-68C7-43B2-8254-E18D0349E121}" presName="root" presStyleCnt="0"/>
      <dgm:spPr/>
      <dgm:t>
        <a:bodyPr/>
        <a:lstStyle/>
        <a:p>
          <a:endParaRPr lang="en-US"/>
        </a:p>
      </dgm:t>
    </dgm:pt>
    <dgm:pt modelId="{2881620F-60DB-4A6C-93DD-A96F5AB8A901}" type="pres">
      <dgm:prSet presAssocID="{0AA128CA-68C7-43B2-8254-E18D0349E121}" presName="rootComposite" presStyleCnt="0"/>
      <dgm:spPr/>
      <dgm:t>
        <a:bodyPr/>
        <a:lstStyle/>
        <a:p>
          <a:endParaRPr lang="en-US"/>
        </a:p>
      </dgm:t>
    </dgm:pt>
    <dgm:pt modelId="{752CB097-D75D-4E83-B0FF-B25D2BEEEDED}" type="pres">
      <dgm:prSet presAssocID="{0AA128CA-68C7-43B2-8254-E18D0349E121}" presName="rootText" presStyleLbl="node1" presStyleIdx="9" presStyleCnt="12"/>
      <dgm:spPr/>
      <dgm:t>
        <a:bodyPr/>
        <a:lstStyle/>
        <a:p>
          <a:endParaRPr lang="en-US"/>
        </a:p>
      </dgm:t>
    </dgm:pt>
    <dgm:pt modelId="{44DFBC6A-96BF-4934-B6D1-1849B9C14C65}" type="pres">
      <dgm:prSet presAssocID="{0AA128CA-68C7-43B2-8254-E18D0349E121}" presName="rootConnector" presStyleLbl="node1" presStyleIdx="9" presStyleCnt="12"/>
      <dgm:spPr/>
      <dgm:t>
        <a:bodyPr/>
        <a:lstStyle/>
        <a:p>
          <a:endParaRPr lang="en-US"/>
        </a:p>
      </dgm:t>
    </dgm:pt>
    <dgm:pt modelId="{A323E3F0-AC4C-4A9A-B811-C99519F9E79C}" type="pres">
      <dgm:prSet presAssocID="{0AA128CA-68C7-43B2-8254-E18D0349E121}" presName="childShape" presStyleCnt="0"/>
      <dgm:spPr/>
      <dgm:t>
        <a:bodyPr/>
        <a:lstStyle/>
        <a:p>
          <a:endParaRPr lang="en-US"/>
        </a:p>
      </dgm:t>
    </dgm:pt>
    <dgm:pt modelId="{FFBBAA97-5FB0-4FBF-A1C9-43B155763F91}" type="pres">
      <dgm:prSet presAssocID="{F9C59650-F9D4-42D4-8848-8F96CD3A9A1A}" presName="Name13" presStyleLbl="parChTrans1D2" presStyleIdx="65" presStyleCnt="84"/>
      <dgm:spPr/>
      <dgm:t>
        <a:bodyPr/>
        <a:lstStyle/>
        <a:p>
          <a:endParaRPr lang="en-US"/>
        </a:p>
      </dgm:t>
    </dgm:pt>
    <dgm:pt modelId="{201F5A66-BA5B-4EEF-9704-AC14E42354CF}" type="pres">
      <dgm:prSet presAssocID="{5BDF9AC8-2BF5-410D-BEDA-D3C9BFF81E1A}" presName="childText" presStyleLbl="bgAcc1" presStyleIdx="6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71524B5-1A14-4226-B985-B4DC02F1FC2E}" type="pres">
      <dgm:prSet presAssocID="{776C56EC-A84F-4BE5-B0D4-3D330518193B}" presName="Name13" presStyleLbl="parChTrans1D2" presStyleIdx="66" presStyleCnt="84"/>
      <dgm:spPr/>
      <dgm:t>
        <a:bodyPr/>
        <a:lstStyle/>
        <a:p>
          <a:endParaRPr lang="en-US"/>
        </a:p>
      </dgm:t>
    </dgm:pt>
    <dgm:pt modelId="{BCD7B34B-2577-414A-99C2-D925AD77975D}" type="pres">
      <dgm:prSet presAssocID="{588015E6-AF0C-4879-B7A6-0D13442C1572}" presName="childText" presStyleLbl="bgAcc1" presStyleIdx="6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D14B6C3-27AA-4D87-9540-8A11C9A8DECC}" type="pres">
      <dgm:prSet presAssocID="{B43A2B18-0B28-4A31-B2F7-8FB95C36E948}" presName="Name13" presStyleLbl="parChTrans1D2" presStyleIdx="67" presStyleCnt="84"/>
      <dgm:spPr/>
      <dgm:t>
        <a:bodyPr/>
        <a:lstStyle/>
        <a:p>
          <a:endParaRPr lang="en-US"/>
        </a:p>
      </dgm:t>
    </dgm:pt>
    <dgm:pt modelId="{7A448036-7A84-4889-BBF0-982B5C41BB20}" type="pres">
      <dgm:prSet presAssocID="{13760482-56DF-4BE1-BACC-0075F5F418A9}" presName="childText" presStyleLbl="bgAcc1" presStyleIdx="6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5240B53-ABE6-4921-87B3-9BF21774DB51}" type="pres">
      <dgm:prSet presAssocID="{022BADF1-21F4-4871-B989-0A2C399D2459}" presName="Name13" presStyleLbl="parChTrans1D2" presStyleIdx="68" presStyleCnt="84"/>
      <dgm:spPr/>
      <dgm:t>
        <a:bodyPr/>
        <a:lstStyle/>
        <a:p>
          <a:endParaRPr lang="en-US"/>
        </a:p>
      </dgm:t>
    </dgm:pt>
    <dgm:pt modelId="{F297D3A7-0F1A-4A33-BF1E-FEC6D96F605D}" type="pres">
      <dgm:prSet presAssocID="{3D2176E4-C1CF-4867-8011-09AB320F5C15}" presName="childText" presStyleLbl="bgAcc1" presStyleIdx="6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770582F-4A06-4D3C-A958-E63B41E35C3B}" type="pres">
      <dgm:prSet presAssocID="{FDC6F5C8-26EC-4F78-BC63-6FA9FA9337E3}" presName="Name13" presStyleLbl="parChTrans1D2" presStyleIdx="69" presStyleCnt="84"/>
      <dgm:spPr/>
      <dgm:t>
        <a:bodyPr/>
        <a:lstStyle/>
        <a:p>
          <a:endParaRPr lang="en-US"/>
        </a:p>
      </dgm:t>
    </dgm:pt>
    <dgm:pt modelId="{C87BD6DD-EE6C-489B-9CFF-8088DD3D99A4}" type="pres">
      <dgm:prSet presAssocID="{153B35FA-6F24-4CE5-9577-07E83AA4107E}" presName="childText" presStyleLbl="bgAcc1" presStyleIdx="6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D3C9EF0-B482-43A9-B032-F8ABB6BABC95}" type="pres">
      <dgm:prSet presAssocID="{56EC1E96-5BC5-4EF6-8907-35603B15E021}" presName="Name13" presStyleLbl="parChTrans1D2" presStyleIdx="70" presStyleCnt="84"/>
      <dgm:spPr/>
      <dgm:t>
        <a:bodyPr/>
        <a:lstStyle/>
        <a:p>
          <a:endParaRPr lang="en-US"/>
        </a:p>
      </dgm:t>
    </dgm:pt>
    <dgm:pt modelId="{7CDBBCF8-9242-4ACE-A53E-8AF415A48CA5}" type="pres">
      <dgm:prSet presAssocID="{0CB75F31-26E6-4915-B350-07B7045A188B}" presName="childText" presStyleLbl="bgAcc1" presStyleIdx="7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FEA3594-DFDC-4006-B1B9-2708ECF4F422}" type="pres">
      <dgm:prSet presAssocID="{5AB075D3-4772-4249-87E2-981573D971A2}" presName="root" presStyleCnt="0"/>
      <dgm:spPr/>
      <dgm:t>
        <a:bodyPr/>
        <a:lstStyle/>
        <a:p>
          <a:endParaRPr lang="en-US"/>
        </a:p>
      </dgm:t>
    </dgm:pt>
    <dgm:pt modelId="{41EA46FE-6BDE-43B9-9413-0551F835AAC2}" type="pres">
      <dgm:prSet presAssocID="{5AB075D3-4772-4249-87E2-981573D971A2}" presName="rootComposite" presStyleCnt="0"/>
      <dgm:spPr/>
      <dgm:t>
        <a:bodyPr/>
        <a:lstStyle/>
        <a:p>
          <a:endParaRPr lang="en-US"/>
        </a:p>
      </dgm:t>
    </dgm:pt>
    <dgm:pt modelId="{FAE650BF-70BF-44F7-8B45-E54BA3CB599A}" type="pres">
      <dgm:prSet presAssocID="{5AB075D3-4772-4249-87E2-981573D971A2}" presName="rootText" presStyleLbl="node1" presStyleIdx="10" presStyleCnt="12"/>
      <dgm:spPr/>
      <dgm:t>
        <a:bodyPr/>
        <a:lstStyle/>
        <a:p>
          <a:endParaRPr lang="en-US"/>
        </a:p>
      </dgm:t>
    </dgm:pt>
    <dgm:pt modelId="{6E04BA8F-193A-4751-8235-2F1FD07A6A75}" type="pres">
      <dgm:prSet presAssocID="{5AB075D3-4772-4249-87E2-981573D971A2}" presName="rootConnector" presStyleLbl="node1" presStyleIdx="10" presStyleCnt="12"/>
      <dgm:spPr/>
      <dgm:t>
        <a:bodyPr/>
        <a:lstStyle/>
        <a:p>
          <a:endParaRPr lang="en-US"/>
        </a:p>
      </dgm:t>
    </dgm:pt>
    <dgm:pt modelId="{3AFE6A39-5C86-479D-BABE-0479D92345BB}" type="pres">
      <dgm:prSet presAssocID="{5AB075D3-4772-4249-87E2-981573D971A2}" presName="childShape" presStyleCnt="0"/>
      <dgm:spPr/>
      <dgm:t>
        <a:bodyPr/>
        <a:lstStyle/>
        <a:p>
          <a:endParaRPr lang="en-US"/>
        </a:p>
      </dgm:t>
    </dgm:pt>
    <dgm:pt modelId="{66B3C20E-F001-4345-B891-692248886E7B}" type="pres">
      <dgm:prSet presAssocID="{D37B02FF-5ED0-41A8-B1F7-6BC3FC2E6255}" presName="Name13" presStyleLbl="parChTrans1D2" presStyleIdx="71" presStyleCnt="84"/>
      <dgm:spPr/>
      <dgm:t>
        <a:bodyPr/>
        <a:lstStyle/>
        <a:p>
          <a:endParaRPr lang="en-US"/>
        </a:p>
      </dgm:t>
    </dgm:pt>
    <dgm:pt modelId="{06B5EB08-F1A1-46FB-9780-4641E3F44AA5}" type="pres">
      <dgm:prSet presAssocID="{76643A17-7219-4D26-A478-3DA7ABBB3831}" presName="childText" presStyleLbl="bgAcc1" presStyleIdx="7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B3E6DA36-07D9-40AA-8DCD-0B5BB30A0FF2}" type="pres">
      <dgm:prSet presAssocID="{21B235CD-7FC8-4019-BE9D-3309A7020690}" presName="Name13" presStyleLbl="parChTrans1D2" presStyleIdx="72" presStyleCnt="84"/>
      <dgm:spPr/>
      <dgm:t>
        <a:bodyPr/>
        <a:lstStyle/>
        <a:p>
          <a:endParaRPr lang="en-US"/>
        </a:p>
      </dgm:t>
    </dgm:pt>
    <dgm:pt modelId="{7F77FA49-49C8-4CF7-9D84-1FA6B5B2D26C}" type="pres">
      <dgm:prSet presAssocID="{D8378D6B-F7DC-49EE-828C-F839E5E0CDA2}" presName="childText" presStyleLbl="bgAcc1" presStyleIdx="7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26240FEC-1EBC-4563-935E-7527F2043085}" type="pres">
      <dgm:prSet presAssocID="{38154F50-1EBD-4312-9CFA-181280422943}" presName="Name13" presStyleLbl="parChTrans1D2" presStyleIdx="73" presStyleCnt="84"/>
      <dgm:spPr/>
      <dgm:t>
        <a:bodyPr/>
        <a:lstStyle/>
        <a:p>
          <a:endParaRPr lang="en-US"/>
        </a:p>
      </dgm:t>
    </dgm:pt>
    <dgm:pt modelId="{F2D5A5D4-C3E1-4773-9D7B-620CE449F4BB}" type="pres">
      <dgm:prSet presAssocID="{3271D8BB-0764-45B6-AFDD-23CFDDC8749B}" presName="childText" presStyleLbl="bgAcc1" presStyleIdx="7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47C86B4-9619-4DF6-A3D2-21F1DAA65C38}" type="pres">
      <dgm:prSet presAssocID="{480E13F5-8408-4492-AEE6-AEA74F905FD2}" presName="Name13" presStyleLbl="parChTrans1D2" presStyleIdx="74" presStyleCnt="84"/>
      <dgm:spPr/>
      <dgm:t>
        <a:bodyPr/>
        <a:lstStyle/>
        <a:p>
          <a:endParaRPr lang="en-US"/>
        </a:p>
      </dgm:t>
    </dgm:pt>
    <dgm:pt modelId="{AC69988B-8F72-456D-9F76-4080846680F9}" type="pres">
      <dgm:prSet presAssocID="{7D345893-6C98-47D8-91A6-0F9EE3434709}" presName="childText" presStyleLbl="bgAcc1" presStyleIdx="74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4940586-15EC-433C-A65B-F74ACB795285}" type="pres">
      <dgm:prSet presAssocID="{C81F0447-B470-4D5C-8CA0-21D60F7268D9}" presName="Name13" presStyleLbl="parChTrans1D2" presStyleIdx="75" presStyleCnt="84"/>
      <dgm:spPr/>
      <dgm:t>
        <a:bodyPr/>
        <a:lstStyle/>
        <a:p>
          <a:endParaRPr lang="en-US"/>
        </a:p>
      </dgm:t>
    </dgm:pt>
    <dgm:pt modelId="{47E86BDE-F909-4BE8-B285-09A36A90319C}" type="pres">
      <dgm:prSet presAssocID="{D607062B-FB01-4508-B904-539E0DF29B4A}" presName="childText" presStyleLbl="bgAcc1" presStyleIdx="75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1FEC6EC-D8C8-4BB6-9029-6B8C7AA222B6}" type="pres">
      <dgm:prSet presAssocID="{97142484-34EC-4734-ABDB-7CB245A1FED9}" presName="Name13" presStyleLbl="parChTrans1D2" presStyleIdx="76" presStyleCnt="84"/>
      <dgm:spPr/>
      <dgm:t>
        <a:bodyPr/>
        <a:lstStyle/>
        <a:p>
          <a:endParaRPr lang="en-US"/>
        </a:p>
      </dgm:t>
    </dgm:pt>
    <dgm:pt modelId="{2B835777-2A77-48A7-8645-82CEDD8169CC}" type="pres">
      <dgm:prSet presAssocID="{8CC3DD72-E01A-493D-AFFA-2FAE6A82A4C5}" presName="childText" presStyleLbl="bgAcc1" presStyleIdx="76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A4EFBB-FDC7-474B-BE05-2E81B9550F80}" type="pres">
      <dgm:prSet presAssocID="{4089B06B-D90E-4C0C-88F8-3275EC5A5747}" presName="Name13" presStyleLbl="parChTrans1D2" presStyleIdx="77" presStyleCnt="84"/>
      <dgm:spPr/>
      <dgm:t>
        <a:bodyPr/>
        <a:lstStyle/>
        <a:p>
          <a:endParaRPr lang="en-US"/>
        </a:p>
      </dgm:t>
    </dgm:pt>
    <dgm:pt modelId="{C006F1D8-53B9-4C79-BB3D-9D8881EBBC7B}" type="pres">
      <dgm:prSet presAssocID="{B787B8B9-17FA-4DBE-B15E-7EE6E946F3E3}" presName="childText" presStyleLbl="bgAcc1" presStyleIdx="77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678CBC6-8A84-42DB-8283-929690E413B0}" type="pres">
      <dgm:prSet presAssocID="{2B12583C-2DF8-438A-AD8B-142DE926F7A2}" presName="Name13" presStyleLbl="parChTrans1D2" presStyleIdx="78" presStyleCnt="84"/>
      <dgm:spPr/>
      <dgm:t>
        <a:bodyPr/>
        <a:lstStyle/>
        <a:p>
          <a:endParaRPr lang="en-US"/>
        </a:p>
      </dgm:t>
    </dgm:pt>
    <dgm:pt modelId="{3EFB5B10-7F7C-4E85-BA02-6937929CFEA1}" type="pres">
      <dgm:prSet presAssocID="{0EB675E9-4E9C-4FB3-844F-C7D2E1513E0A}" presName="childText" presStyleLbl="bgAcc1" presStyleIdx="78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EE80D1B-1953-478A-8F1C-71135A2FE71E}" type="pres">
      <dgm:prSet presAssocID="{B24D7424-CBE8-4287-BAB3-8C0C7FE25E11}" presName="root" presStyleCnt="0"/>
      <dgm:spPr/>
      <dgm:t>
        <a:bodyPr/>
        <a:lstStyle/>
        <a:p>
          <a:endParaRPr lang="en-US"/>
        </a:p>
      </dgm:t>
    </dgm:pt>
    <dgm:pt modelId="{44985586-C0FD-4110-A953-BF2EA43E3928}" type="pres">
      <dgm:prSet presAssocID="{B24D7424-CBE8-4287-BAB3-8C0C7FE25E11}" presName="rootComposite" presStyleCnt="0"/>
      <dgm:spPr/>
      <dgm:t>
        <a:bodyPr/>
        <a:lstStyle/>
        <a:p>
          <a:endParaRPr lang="en-US"/>
        </a:p>
      </dgm:t>
    </dgm:pt>
    <dgm:pt modelId="{23AD07B1-FD7D-4EAE-A13A-73C6DBD9E7C2}" type="pres">
      <dgm:prSet presAssocID="{B24D7424-CBE8-4287-BAB3-8C0C7FE25E11}" presName="rootText" presStyleLbl="node1" presStyleIdx="11" presStyleCnt="12"/>
      <dgm:spPr/>
      <dgm:t>
        <a:bodyPr/>
        <a:lstStyle/>
        <a:p>
          <a:endParaRPr lang="en-US"/>
        </a:p>
      </dgm:t>
    </dgm:pt>
    <dgm:pt modelId="{DA45EAED-9CE9-43DB-9B78-23A09701247E}" type="pres">
      <dgm:prSet presAssocID="{B24D7424-CBE8-4287-BAB3-8C0C7FE25E11}" presName="rootConnector" presStyleLbl="node1" presStyleIdx="11" presStyleCnt="12"/>
      <dgm:spPr/>
      <dgm:t>
        <a:bodyPr/>
        <a:lstStyle/>
        <a:p>
          <a:endParaRPr lang="en-US"/>
        </a:p>
      </dgm:t>
    </dgm:pt>
    <dgm:pt modelId="{FA8FFAF2-285B-4F21-A87E-6DB0DF2FA243}" type="pres">
      <dgm:prSet presAssocID="{B24D7424-CBE8-4287-BAB3-8C0C7FE25E11}" presName="childShape" presStyleCnt="0"/>
      <dgm:spPr/>
      <dgm:t>
        <a:bodyPr/>
        <a:lstStyle/>
        <a:p>
          <a:endParaRPr lang="en-US"/>
        </a:p>
      </dgm:t>
    </dgm:pt>
    <dgm:pt modelId="{F8C760DF-3086-4F52-9BBF-05A88E365331}" type="pres">
      <dgm:prSet presAssocID="{70FDEC69-4A58-4397-A5F1-4882D742DCDF}" presName="Name13" presStyleLbl="parChTrans1D2" presStyleIdx="79" presStyleCnt="84"/>
      <dgm:spPr/>
      <dgm:t>
        <a:bodyPr/>
        <a:lstStyle/>
        <a:p>
          <a:endParaRPr lang="en-US"/>
        </a:p>
      </dgm:t>
    </dgm:pt>
    <dgm:pt modelId="{63E5433A-8461-4174-88BC-3D5E34B073C8}" type="pres">
      <dgm:prSet presAssocID="{7B1C066E-7351-4A55-AC8E-0A521AE9B6F8}" presName="childText" presStyleLbl="bgAcc1" presStyleIdx="79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49E3CA67-A205-42E9-9990-44EF699A4304}" type="pres">
      <dgm:prSet presAssocID="{962AD2A8-0651-4BC5-BF85-3FD458C91141}" presName="Name13" presStyleLbl="parChTrans1D2" presStyleIdx="80" presStyleCnt="84"/>
      <dgm:spPr/>
      <dgm:t>
        <a:bodyPr/>
        <a:lstStyle/>
        <a:p>
          <a:endParaRPr lang="en-US"/>
        </a:p>
      </dgm:t>
    </dgm:pt>
    <dgm:pt modelId="{46AFDF0E-A74A-411D-84FE-C38D9A979258}" type="pres">
      <dgm:prSet presAssocID="{8697436E-899A-4BFF-9342-1EAEDDE98C3F}" presName="childText" presStyleLbl="bgAcc1" presStyleIdx="80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2E94F2F-A8A2-4D46-B052-3AB788BD233C}" type="pres">
      <dgm:prSet presAssocID="{819A3BFB-61B0-44DD-9879-0BBC02653777}" presName="Name13" presStyleLbl="parChTrans1D2" presStyleIdx="81" presStyleCnt="84"/>
      <dgm:spPr/>
      <dgm:t>
        <a:bodyPr/>
        <a:lstStyle/>
        <a:p>
          <a:endParaRPr lang="en-US"/>
        </a:p>
      </dgm:t>
    </dgm:pt>
    <dgm:pt modelId="{70CEA3FE-6D6F-41DA-B418-263C9DEAE5D2}" type="pres">
      <dgm:prSet presAssocID="{4A83D6B1-A784-4644-8D91-E965CC418F20}" presName="childText" presStyleLbl="bgAcc1" presStyleIdx="81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56B7FA6-028F-4E7D-B330-596ADA182C0F}" type="pres">
      <dgm:prSet presAssocID="{E9B6DD9E-AA0F-4B9F-831F-714025438846}" presName="Name13" presStyleLbl="parChTrans1D2" presStyleIdx="82" presStyleCnt="84"/>
      <dgm:spPr/>
      <dgm:t>
        <a:bodyPr/>
        <a:lstStyle/>
        <a:p>
          <a:endParaRPr lang="en-US"/>
        </a:p>
      </dgm:t>
    </dgm:pt>
    <dgm:pt modelId="{703F6B3B-678B-4B2C-8650-D6DEC19F2B92}" type="pres">
      <dgm:prSet presAssocID="{FC6D7D9F-26BD-4893-806D-0A5DA481E73E}" presName="childText" presStyleLbl="bgAcc1" presStyleIdx="82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EB9D84AE-0AD7-49DE-A010-37876FECE848}" type="pres">
      <dgm:prSet presAssocID="{B0105F56-B441-429F-9B75-0890B2059962}" presName="Name13" presStyleLbl="parChTrans1D2" presStyleIdx="83" presStyleCnt="84"/>
      <dgm:spPr/>
      <dgm:t>
        <a:bodyPr/>
        <a:lstStyle/>
        <a:p>
          <a:endParaRPr lang="en-US"/>
        </a:p>
      </dgm:t>
    </dgm:pt>
    <dgm:pt modelId="{5BE9385E-3711-48C1-B4B4-E86E9612A856}" type="pres">
      <dgm:prSet presAssocID="{0DBF97A0-0046-4ED2-BBF4-EB7D44910C65}" presName="childText" presStyleLbl="bgAcc1" presStyleIdx="83" presStyleCnt="8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4EB51E58-E159-4F3E-A7D8-8482819C8B57}" type="presOf" srcId="{3D2176E4-C1CF-4867-8011-09AB320F5C15}" destId="{F297D3A7-0F1A-4A33-BF1E-FEC6D96F605D}" srcOrd="0" destOrd="0" presId="urn:microsoft.com/office/officeart/2005/8/layout/hierarchy3"/>
    <dgm:cxn modelId="{B236419E-EC02-47AD-A35C-9F56B35EE83C}" srcId="{326E41BE-4754-47F8-A827-BBC37D251A0F}" destId="{4F31E03D-D87C-467D-A7AB-D06F4642FAC0}" srcOrd="8" destOrd="0" parTransId="{826ED3F8-87C3-49FE-9BDA-9C29EF89E618}" sibTransId="{7437BE00-390F-4437-A6F4-BFB95AAC9BD4}"/>
    <dgm:cxn modelId="{35A6D527-6297-4199-81DD-3378E1F12664}" type="presOf" srcId="{3DFB50EE-047E-489F-8619-20DA49904CA3}" destId="{EE2F0775-3BC7-42AF-8C94-751E8E6B5948}" srcOrd="0" destOrd="0" presId="urn:microsoft.com/office/officeart/2005/8/layout/hierarchy3"/>
    <dgm:cxn modelId="{E269C05C-2444-4A85-B146-FDEFEC7BB745}" type="presOf" srcId="{E97EFC66-2490-47D5-B913-6B93BFCC4350}" destId="{ABF50D47-F87A-4BD6-8F7C-25A9784894B3}" srcOrd="0" destOrd="0" presId="urn:microsoft.com/office/officeart/2005/8/layout/hierarchy3"/>
    <dgm:cxn modelId="{6545465D-7667-44E5-86BC-F8383E72D8FB}" type="presOf" srcId="{97142484-34EC-4734-ABDB-7CB245A1FED9}" destId="{31FEC6EC-D8C8-4BB6-9029-6B8C7AA222B6}" srcOrd="0" destOrd="0" presId="urn:microsoft.com/office/officeart/2005/8/layout/hierarchy3"/>
    <dgm:cxn modelId="{A32DD495-8E46-46B0-BE87-FC3B637EB92C}" type="presOf" srcId="{89FAAB76-109C-4B59-BE35-12BB3CECFF28}" destId="{14AE5401-015A-41A3-A50E-5FC75A40B292}" srcOrd="1" destOrd="0" presId="urn:microsoft.com/office/officeart/2005/8/layout/hierarchy3"/>
    <dgm:cxn modelId="{A1C842BB-CC59-4D74-9385-31BD3601AB5E}" type="presOf" srcId="{B06EEAC7-2679-41F6-88D4-5EF5D94B4A8C}" destId="{DC572B6E-F658-4072-8BA1-252E63393B46}" srcOrd="0" destOrd="0" presId="urn:microsoft.com/office/officeart/2005/8/layout/hierarchy3"/>
    <dgm:cxn modelId="{2F32212C-8273-44A6-8C5A-D6F561C243CB}" srcId="{DE9C5063-817E-44A6-921B-644748024459}" destId="{3DFB50EE-047E-489F-8619-20DA49904CA3}" srcOrd="4" destOrd="0" parTransId="{51F9D806-2EE3-4AED-8BEE-343C1D021B17}" sibTransId="{0F2468BD-9725-4C30-9A25-D058319E2E15}"/>
    <dgm:cxn modelId="{9BE602EC-4D07-45C6-99E2-037285AB2528}" type="presOf" srcId="{401546A4-099F-4542-A53C-DD3F622B4554}" destId="{72743F39-4F92-4C4D-B4F1-8B59A974E49B}" srcOrd="0" destOrd="0" presId="urn:microsoft.com/office/officeart/2005/8/layout/hierarchy3"/>
    <dgm:cxn modelId="{100F9434-EB40-4F02-BEF8-1FF44B6759EE}" type="presOf" srcId="{468470EA-FB27-4C95-A837-2AEBF10E771D}" destId="{488A8750-A971-4A28-B97D-6D6FC8A9FC64}" srcOrd="0" destOrd="0" presId="urn:microsoft.com/office/officeart/2005/8/layout/hierarchy3"/>
    <dgm:cxn modelId="{5C1AF985-9AB4-49AF-8FDB-EAF3B561696F}" type="presOf" srcId="{ADB6D666-4F9A-4A19-B9DC-582D73C3F211}" destId="{D088928E-2151-4244-8201-82336DD74D95}" srcOrd="0" destOrd="0" presId="urn:microsoft.com/office/officeart/2005/8/layout/hierarchy3"/>
    <dgm:cxn modelId="{5ECFABBC-947E-46C6-AD71-E84F00298832}" srcId="{0AA128CA-68C7-43B2-8254-E18D0349E121}" destId="{588015E6-AF0C-4879-B7A6-0D13442C1572}" srcOrd="1" destOrd="0" parTransId="{776C56EC-A84F-4BE5-B0D4-3D330518193B}" sibTransId="{B204D13B-B7AD-4512-BDCF-31ED46853B69}"/>
    <dgm:cxn modelId="{D1871192-546B-4C9D-B5DA-87429BFB388F}" srcId="{5AB075D3-4772-4249-87E2-981573D971A2}" destId="{D8378D6B-F7DC-49EE-828C-F839E5E0CDA2}" srcOrd="1" destOrd="0" parTransId="{21B235CD-7FC8-4019-BE9D-3309A7020690}" sibTransId="{B7248B01-04E6-4686-A943-32C2A5B0EB38}"/>
    <dgm:cxn modelId="{A6A531AF-1B7D-42B3-BDA9-084F30FF8CFA}" type="presOf" srcId="{DE9C5063-817E-44A6-921B-644748024459}" destId="{A9EA69FF-7457-429F-8B6C-246485873E9B}" srcOrd="0" destOrd="0" presId="urn:microsoft.com/office/officeart/2005/8/layout/hierarchy3"/>
    <dgm:cxn modelId="{83F42D9B-6140-4E63-BF6A-D479EE94B3B7}" srcId="{10B16838-4B8C-4050-ACEE-C87CC26561A9}" destId="{DCC482A2-BA5F-4C23-8C83-51AA2662C1AA}" srcOrd="2" destOrd="0" parTransId="{8BE2B69C-82CA-4C84-80D3-DE65EC61F4FD}" sibTransId="{4271CE7C-512C-4BA0-9B6A-F3BA4DA2C922}"/>
    <dgm:cxn modelId="{A410FAAC-0593-4204-9492-6D6643D56631}" srcId="{DE9C5063-817E-44A6-921B-644748024459}" destId="{378279E8-26F3-4451-9372-279518ACF117}" srcOrd="1" destOrd="0" parTransId="{073719FE-7B5A-417A-94D3-00806D468204}" sibTransId="{35027557-4DE6-478A-856F-C7281034650C}"/>
    <dgm:cxn modelId="{691E3295-C9B9-4DFF-95A0-F31D058D9DCB}" type="presOf" srcId="{9A2A1DF2-BECF-43D8-BB65-19027B0BF765}" destId="{87C9C29D-36BC-4477-B943-D31D31D934DD}" srcOrd="0" destOrd="0" presId="urn:microsoft.com/office/officeart/2005/8/layout/hierarchy3"/>
    <dgm:cxn modelId="{DFE51B7D-6C59-C840-AF60-1694C7080791}" srcId="{EECDC874-5450-C947-B592-9B7648206C76}" destId="{95366100-45A1-9043-9971-6C498D5A61BF}" srcOrd="2" destOrd="0" parTransId="{DEC6CF57-D782-3C41-B9F9-34A4E20BB27C}" sibTransId="{03465A1B-06C0-BD47-8AC0-F9D39995B1E7}"/>
    <dgm:cxn modelId="{68B7620D-5371-425A-B7F8-CC46BACAE326}" srcId="{89FAAB76-109C-4B59-BE35-12BB3CECFF28}" destId="{D43D9762-0118-4725-A88D-A9BB4F308562}" srcOrd="1" destOrd="0" parTransId="{D840A87C-CD3B-4687-A434-EF9A77B208C1}" sibTransId="{8B75C6A7-2B61-487D-B2D8-79DA5C435F3E}"/>
    <dgm:cxn modelId="{E7147F14-DAF1-438E-A28C-5D33E978CD54}" type="presOf" srcId="{1FE679B8-590B-EE4C-8FF7-8C2BA7991E2F}" destId="{4513A539-73EC-5545-B853-532E24248A08}" srcOrd="0" destOrd="0" presId="urn:microsoft.com/office/officeart/2005/8/layout/hierarchy3"/>
    <dgm:cxn modelId="{7BE92622-292D-4BF2-B564-D0E46CD50C94}" srcId="{9C451123-527E-4107-B6F1-1AA8E171AB87}" destId="{69479F0F-604D-4946-AA95-6B15C1659DE1}" srcOrd="9" destOrd="0" parTransId="{0DD9E40F-1942-4448-8FBE-AF0A7D5F6683}" sibTransId="{FF46B2A3-90A8-412F-A486-B5FCBA1EF945}"/>
    <dgm:cxn modelId="{A8BBBC48-29B8-4EE3-837D-060D04810E25}" type="presOf" srcId="{D8378D6B-F7DC-49EE-828C-F839E5E0CDA2}" destId="{7F77FA49-49C8-4CF7-9D84-1FA6B5B2D26C}" srcOrd="0" destOrd="0" presId="urn:microsoft.com/office/officeart/2005/8/layout/hierarchy3"/>
    <dgm:cxn modelId="{15C4A144-AE53-43A9-8E93-3055738B09C0}" type="presOf" srcId="{CF166E8B-1ED3-40C5-B23E-E11E402644F7}" destId="{D8CECAD0-8E25-47D0-B886-9188BCC9B84C}" srcOrd="0" destOrd="0" presId="urn:microsoft.com/office/officeart/2005/8/layout/hierarchy3"/>
    <dgm:cxn modelId="{F3303754-D7BF-4512-B13E-3B66CEE63A24}" type="presOf" srcId="{B24D7424-CBE8-4287-BAB3-8C0C7FE25E11}" destId="{23AD07B1-FD7D-4EAE-A13A-73C6DBD9E7C2}" srcOrd="0" destOrd="0" presId="urn:microsoft.com/office/officeart/2005/8/layout/hierarchy3"/>
    <dgm:cxn modelId="{87326065-2BB9-4D6D-A7CB-D9EF9FCB2D3E}" type="presOf" srcId="{DEC6CF57-D782-3C41-B9F9-34A4E20BB27C}" destId="{CED995B1-0ED0-634C-B7C3-9F8999B1239F}" srcOrd="0" destOrd="0" presId="urn:microsoft.com/office/officeart/2005/8/layout/hierarchy3"/>
    <dgm:cxn modelId="{8BADE3B6-DD29-45C0-A665-3E972BC12824}" type="presOf" srcId="{58A42467-109A-1C41-B675-373A749A3EC5}" destId="{EEC53097-B7E8-0145-9E0F-DE0F2AA0C9D3}" srcOrd="0" destOrd="0" presId="urn:microsoft.com/office/officeart/2005/8/layout/hierarchy3"/>
    <dgm:cxn modelId="{36A65FB8-01D9-4160-96A0-5C879D1DA04C}" srcId="{9E91244B-394B-4282-B1B9-5397BB35FD94}" destId="{6EBB9998-2943-4054-8B5A-F3C929870EC9}" srcOrd="2" destOrd="0" parTransId="{9A7C9913-0801-4137-82B4-FCBDF466B336}" sibTransId="{04C6885D-4049-499E-AA81-23866D490D34}"/>
    <dgm:cxn modelId="{C9C3E2E7-8B04-46E8-97BB-2089BB792796}" type="presOf" srcId="{EE546B34-D563-47D4-9A01-C209D87D5B5E}" destId="{E6412531-F51C-4E36-803F-28F834FD428B}" srcOrd="0" destOrd="0" presId="urn:microsoft.com/office/officeart/2005/8/layout/hierarchy3"/>
    <dgm:cxn modelId="{7FED1C3F-73CE-4604-B4CF-691CAA383974}" type="presOf" srcId="{0AA128CA-68C7-43B2-8254-E18D0349E121}" destId="{44DFBC6A-96BF-4934-B6D1-1849B9C14C65}" srcOrd="1" destOrd="0" presId="urn:microsoft.com/office/officeart/2005/8/layout/hierarchy3"/>
    <dgm:cxn modelId="{819D175C-FEBC-4F1C-BAD2-2BE04BFA0D76}" type="presOf" srcId="{5AB075D3-4772-4249-87E2-981573D971A2}" destId="{FAE650BF-70BF-44F7-8B45-E54BA3CB599A}" srcOrd="0" destOrd="0" presId="urn:microsoft.com/office/officeart/2005/8/layout/hierarchy3"/>
    <dgm:cxn modelId="{3B1A1721-B9AA-483C-958D-66CADDDEBDEC}" srcId="{9C451123-527E-4107-B6F1-1AA8E171AB87}" destId="{EFFAE782-446C-481D-8962-C2D5A068A60E}" srcOrd="5" destOrd="0" parTransId="{CAD399B2-9D81-4DFA-8EB4-91500913E0AE}" sibTransId="{74A76999-81D3-4A90-A98C-BF377DF6E5B9}"/>
    <dgm:cxn modelId="{DCA7097A-979B-4743-949B-4B497EA0D601}" type="presOf" srcId="{3ABC58F0-18B0-410B-BB69-F8AB34AD54D6}" destId="{B2D2B523-0BED-43DF-A699-6F3C346F0F48}" srcOrd="0" destOrd="0" presId="urn:microsoft.com/office/officeart/2005/8/layout/hierarchy3"/>
    <dgm:cxn modelId="{8CD9ABA7-B744-44DF-80B7-B0E45671C6FE}" srcId="{326E41BE-4754-47F8-A827-BBC37D251A0F}" destId="{10B16838-4B8C-4050-ACEE-C87CC26561A9}" srcOrd="4" destOrd="0" parTransId="{FF154101-9528-4414-825E-07187722ABA6}" sibTransId="{C895EFA7-3109-4E6B-B537-718007F65833}"/>
    <dgm:cxn modelId="{E203FD30-D3E9-42FE-B939-4C65A135E880}" type="presOf" srcId="{FD9480BE-2425-421A-862C-57F89755700A}" destId="{E26B5039-D262-4724-A675-C1A0F89721F6}" srcOrd="0" destOrd="0" presId="urn:microsoft.com/office/officeart/2005/8/layout/hierarchy3"/>
    <dgm:cxn modelId="{D55721E4-FC5B-42C2-951E-7C866314A22C}" type="presOf" srcId="{A59716C7-D4B2-4CC5-8CCA-CC5FC33BF823}" destId="{D2494F15-BE3D-45DE-91D8-981596EDBC64}" srcOrd="0" destOrd="0" presId="urn:microsoft.com/office/officeart/2005/8/layout/hierarchy3"/>
    <dgm:cxn modelId="{C0FFBE1C-C4D5-4780-ABB8-2F9BF8A50CBA}" type="presOf" srcId="{617A7C11-ABC1-4AB5-8B80-1B70A3ACA8A0}" destId="{D204DBB8-3F91-46BC-9FBD-BE13DD9402CD}" srcOrd="0" destOrd="0" presId="urn:microsoft.com/office/officeart/2005/8/layout/hierarchy3"/>
    <dgm:cxn modelId="{FB7E2032-E32D-F948-875E-4DEC1310FB25}" srcId="{9C451123-527E-4107-B6F1-1AA8E171AB87}" destId="{3941A3DF-8B6D-714C-9471-2F8F757FE3CB}" srcOrd="2" destOrd="0" parTransId="{58A42467-109A-1C41-B675-373A749A3EC5}" sibTransId="{4DC75662-A637-0D49-8177-96D4D8C3755C}"/>
    <dgm:cxn modelId="{8023AD60-93FA-4360-95A3-EFDA249DEF4C}" type="presOf" srcId="{7F4754E4-698F-4321-86CA-3E41611ADE53}" destId="{CFA84F63-C3FB-4DE5-8416-AA278C1E6C47}" srcOrd="0" destOrd="0" presId="urn:microsoft.com/office/officeart/2005/8/layout/hierarchy3"/>
    <dgm:cxn modelId="{AC75F1E3-E396-4F3A-B0EF-0AE045670C46}" type="presOf" srcId="{3B59CA56-1B18-4ED6-AA08-35CEEF3DEE62}" destId="{0C7ED6AA-63A2-487E-A236-F89162EC8C34}" srcOrd="0" destOrd="0" presId="urn:microsoft.com/office/officeart/2005/8/layout/hierarchy3"/>
    <dgm:cxn modelId="{899F04D8-FC0A-490B-9B24-2C4304E124E5}" type="presOf" srcId="{3B97A161-BFA6-BC44-BA8C-461E9E3BB0AE}" destId="{223640DF-E747-2D43-9BC1-5C922FDA3806}" srcOrd="0" destOrd="0" presId="urn:microsoft.com/office/officeart/2005/8/layout/hierarchy3"/>
    <dgm:cxn modelId="{A09D23CA-6F6C-4BE0-B22A-98D1F296B840}" srcId="{9E91244B-394B-4282-B1B9-5397BB35FD94}" destId="{C8D04788-7D53-4117-AC36-C3D8B280F7A9}" srcOrd="4" destOrd="0" parTransId="{3E6B1AF7-9B8E-4B2C-8375-9C760935F6C3}" sibTransId="{E42B238B-8F86-45B4-BD6F-F6A2AAB35EF8}"/>
    <dgm:cxn modelId="{84AC0310-A686-440F-BBE3-44CBB8C80989}" type="presOf" srcId="{EB4A5AE6-FAA4-4EF9-B79E-8E70F3762B92}" destId="{E5141CE0-03B2-4833-A005-F337582B6D45}" srcOrd="0" destOrd="0" presId="urn:microsoft.com/office/officeart/2005/8/layout/hierarchy3"/>
    <dgm:cxn modelId="{A165FFA1-8B7C-4946-B4EE-782926D4BDE9}" type="presOf" srcId="{588015E6-AF0C-4879-B7A6-0D13442C1572}" destId="{BCD7B34B-2577-414A-99C2-D925AD77975D}" srcOrd="0" destOrd="0" presId="urn:microsoft.com/office/officeart/2005/8/layout/hierarchy3"/>
    <dgm:cxn modelId="{167B57DA-E09E-465E-B397-3E2AEFD41103}" type="presOf" srcId="{10B16838-4B8C-4050-ACEE-C87CC26561A9}" destId="{2B30ED3B-9242-4D7A-B3CC-26458FC1E5F3}" srcOrd="1" destOrd="0" presId="urn:microsoft.com/office/officeart/2005/8/layout/hierarchy3"/>
    <dgm:cxn modelId="{A6736F25-8AF2-4FA3-9986-20091A7AE0D1}" type="presOf" srcId="{99443A7C-39BE-4D8F-9443-5F88C668C990}" destId="{522E8939-2ADE-4C03-8330-CB865A38FD64}" srcOrd="0" destOrd="0" presId="urn:microsoft.com/office/officeart/2005/8/layout/hierarchy3"/>
    <dgm:cxn modelId="{A7BF1865-8B7D-4C0E-B857-65A228711312}" type="presOf" srcId="{F918369B-5BCE-4871-951B-D3798E267777}" destId="{ADBC6EA6-470B-4373-B3EB-E4C93D572B9D}" srcOrd="0" destOrd="0" presId="urn:microsoft.com/office/officeart/2005/8/layout/hierarchy3"/>
    <dgm:cxn modelId="{63B5F04D-5656-4E4A-A88C-B956323094FC}" type="presOf" srcId="{275BBD9D-C392-4352-8CC5-7EF493032D38}" destId="{A6A9A63E-9FD5-4EB2-9474-7A626171A63B}" srcOrd="0" destOrd="0" presId="urn:microsoft.com/office/officeart/2005/8/layout/hierarchy3"/>
    <dgm:cxn modelId="{C1EF6CAB-E2B3-4703-A747-30789D30AE58}" type="presOf" srcId="{CDA0107E-9289-46DB-8871-95556161102C}" destId="{8F51B5D0-BAEE-4A9C-9228-32A7D692E2B4}" srcOrd="0" destOrd="0" presId="urn:microsoft.com/office/officeart/2005/8/layout/hierarchy3"/>
    <dgm:cxn modelId="{77895913-20C5-4C86-9DD4-13A41A50F365}" srcId="{BBC86A5D-2C21-421A-964B-739E0F42C3AE}" destId="{B78621D1-521E-47F7-A519-27125B848C4D}" srcOrd="2" destOrd="0" parTransId="{24D1337C-D0BF-4EDC-A767-48A10290CF29}" sibTransId="{9649B3FE-0B98-499A-BB89-203031EEBBC5}"/>
    <dgm:cxn modelId="{11119DC0-B486-2747-B9F1-B5BDF3BE6E2C}" srcId="{326E41BE-4754-47F8-A827-BBC37D251A0F}" destId="{EECDC874-5450-C947-B592-9B7648206C76}" srcOrd="6" destOrd="0" parTransId="{EE9E8811-ABAC-3640-897D-11F5C854B5BA}" sibTransId="{829C02CC-82FB-134D-B014-9EA34F051032}"/>
    <dgm:cxn modelId="{6927E0F7-3CCE-434E-B1CF-107CDABD03AF}" type="presOf" srcId="{8BE2B69C-82CA-4C84-80D3-DE65EC61F4FD}" destId="{016E86B3-05DE-433A-B0C7-9D6BD10DECCC}" srcOrd="0" destOrd="0" presId="urn:microsoft.com/office/officeart/2005/8/layout/hierarchy3"/>
    <dgm:cxn modelId="{790594A9-E5D2-4ED7-90FD-086D1007696A}" type="presOf" srcId="{961BED1F-DCFD-4DD0-9967-2BAECB94A83E}" destId="{E8E9A0AF-F767-4A01-BA2C-22035D29DC5A}" srcOrd="0" destOrd="0" presId="urn:microsoft.com/office/officeart/2005/8/layout/hierarchy3"/>
    <dgm:cxn modelId="{24AEA1DE-7BBD-4C98-AD39-413D737B6647}" type="presOf" srcId="{3AF9EF6A-40A3-4772-BED2-15C9CA54C500}" destId="{6899B8B5-E16D-4FD7-8833-71B2A8C750F5}" srcOrd="0" destOrd="0" presId="urn:microsoft.com/office/officeart/2005/8/layout/hierarchy3"/>
    <dgm:cxn modelId="{2DE5302B-8854-410D-BE6B-48B683E2D290}" type="presOf" srcId="{F8DB0C66-438C-4671-BFC2-0BADAFFE270F}" destId="{08205773-33E0-431A-9A9A-4D7884793206}" srcOrd="0" destOrd="0" presId="urn:microsoft.com/office/officeart/2005/8/layout/hierarchy3"/>
    <dgm:cxn modelId="{66FC742C-8B3E-D741-B2A5-9AB6528BD183}" srcId="{EECDC874-5450-C947-B592-9B7648206C76}" destId="{8D842019-2856-4648-ABDC-DCE3C59E21AC}" srcOrd="3" destOrd="0" parTransId="{D68FAA4F-3DB5-9548-936D-6CED84E179B1}" sibTransId="{7F38F81B-CD93-2D4D-BD81-FA7ADDF217D3}"/>
    <dgm:cxn modelId="{F9854287-2269-4B79-99CA-B68FE2A0DD04}" type="presOf" srcId="{378279E8-26F3-4451-9372-279518ACF117}" destId="{B80407EB-3C95-4F9F-BC7D-FA93640029A0}" srcOrd="0" destOrd="0" presId="urn:microsoft.com/office/officeart/2005/8/layout/hierarchy3"/>
    <dgm:cxn modelId="{93EF123B-94A8-482A-ADC8-A40B321E155B}" type="presOf" srcId="{6EBB9998-2943-4054-8B5A-F3C929870EC9}" destId="{4ED3B95B-3A76-4B68-A046-5A7B66E64246}" srcOrd="0" destOrd="0" presId="urn:microsoft.com/office/officeart/2005/8/layout/hierarchy3"/>
    <dgm:cxn modelId="{21402FBC-59E0-47AC-B0AA-7729F4BC4E40}" srcId="{B24D7424-CBE8-4287-BAB3-8C0C7FE25E11}" destId="{8697436E-899A-4BFF-9342-1EAEDDE98C3F}" srcOrd="1" destOrd="0" parTransId="{962AD2A8-0651-4BC5-BF85-3FD458C91141}" sibTransId="{C68FF4BE-58F9-4D7B-8100-F1DBEB0325DB}"/>
    <dgm:cxn modelId="{C2BB5E2B-8679-4EA0-B044-16030F2D179C}" srcId="{9E91244B-394B-4282-B1B9-5397BB35FD94}" destId="{1F93073F-A891-4081-B936-134E3E38E97B}" srcOrd="3" destOrd="0" parTransId="{3ABC58F0-18B0-410B-BB69-F8AB34AD54D6}" sibTransId="{11B3ABAE-D2FA-4ED7-87CA-D40B470D69C5}"/>
    <dgm:cxn modelId="{F60CFEE4-3298-404A-A2E2-3A300D5FE315}" type="presOf" srcId="{2CB9AC27-11DE-488A-AF0C-CE66563D9166}" destId="{E4D0EA6E-52D6-4FFE-801C-9179013C8832}" srcOrd="0" destOrd="0" presId="urn:microsoft.com/office/officeart/2005/8/layout/hierarchy3"/>
    <dgm:cxn modelId="{53FEDD1F-2EEB-4D31-B72B-3E83FFD492D7}" type="presOf" srcId="{09ABE78D-08CB-41B2-BA9B-E467D934BDD5}" destId="{1D076C4F-EEC4-479F-AD10-BFFD143FF433}" srcOrd="0" destOrd="0" presId="urn:microsoft.com/office/officeart/2005/8/layout/hierarchy3"/>
    <dgm:cxn modelId="{C14EC973-26F9-4DBC-AD80-43E025BF5881}" type="presOf" srcId="{CDEDE2BA-D018-4405-9C34-FAABB00F2F01}" destId="{AB03186D-EBEB-46CE-B98A-77DCB5DECCEC}" srcOrd="0" destOrd="0" presId="urn:microsoft.com/office/officeart/2005/8/layout/hierarchy3"/>
    <dgm:cxn modelId="{1ACE26D9-FA8D-488D-A611-4A820DDDA833}" type="presOf" srcId="{4D5F6063-6740-4B19-8760-1B1FF22EC239}" destId="{BE263809-3046-4D93-93BA-883790AA0D29}" srcOrd="0" destOrd="0" presId="urn:microsoft.com/office/officeart/2005/8/layout/hierarchy3"/>
    <dgm:cxn modelId="{2179DF38-728D-43BA-A263-E801C10EBC8A}" type="presOf" srcId="{8D842019-2856-4648-ABDC-DCE3C59E21AC}" destId="{E31DAE0A-D320-9C47-85E7-84264FF73021}" srcOrd="0" destOrd="0" presId="urn:microsoft.com/office/officeart/2005/8/layout/hierarchy3"/>
    <dgm:cxn modelId="{B8E5A9F7-9635-4B0D-B5BE-C4D0EF9C4DFF}" type="presOf" srcId="{56EC1E96-5BC5-4EF6-8907-35603B15E021}" destId="{2D3C9EF0-B482-43A9-B032-F8ABB6BABC95}" srcOrd="0" destOrd="0" presId="urn:microsoft.com/office/officeart/2005/8/layout/hierarchy3"/>
    <dgm:cxn modelId="{19F027AC-D482-41A6-9ABD-C627337F30C9}" type="presOf" srcId="{BBC86A5D-2C21-421A-964B-739E0F42C3AE}" destId="{2B390FE5-DC7F-49C9-9B1B-187488F2F310}" srcOrd="1" destOrd="0" presId="urn:microsoft.com/office/officeart/2005/8/layout/hierarchy3"/>
    <dgm:cxn modelId="{33C99045-DB71-4998-82DB-CAC235C9CECF}" type="presOf" srcId="{E9B6DD9E-AA0F-4B9F-831F-714025438846}" destId="{A56B7FA6-028F-4E7D-B330-596ADA182C0F}" srcOrd="0" destOrd="0" presId="urn:microsoft.com/office/officeart/2005/8/layout/hierarchy3"/>
    <dgm:cxn modelId="{0975D89A-74B0-4405-B31E-B95635F40093}" type="presOf" srcId="{0B948A8D-506C-AC43-A2F4-ED9BF0E03C60}" destId="{3EFA0B18-764C-CF4E-A859-6A51F88D6BDA}" srcOrd="0" destOrd="0" presId="urn:microsoft.com/office/officeart/2005/8/layout/hierarchy3"/>
    <dgm:cxn modelId="{D40F6C65-6EF2-407D-AC1B-EECB0D2E7333}" type="presOf" srcId="{B78621D1-521E-47F7-A519-27125B848C4D}" destId="{546502DA-F340-43EB-ABA0-6C91DC4D5DED}" srcOrd="0" destOrd="0" presId="urn:microsoft.com/office/officeart/2005/8/layout/hierarchy3"/>
    <dgm:cxn modelId="{C03E1DDB-6E96-44EA-AF22-C9FC8A08A308}" srcId="{DE9C5063-817E-44A6-921B-644748024459}" destId="{A59716C7-D4B2-4CC5-8CCA-CC5FC33BF823}" srcOrd="2" destOrd="0" parTransId="{84BD4DDC-2844-4ED8-9158-70D265A7203D}" sibTransId="{81E20C51-B5D0-4537-9398-54D9A2326423}"/>
    <dgm:cxn modelId="{EC4A50FE-C634-4ED4-9C30-4450CAA1D497}" type="presOf" srcId="{3E026255-5AE1-42AC-8D8E-316FF0A0C137}" destId="{FFF86389-7383-4DD1-B86F-4AE39DE5DCE2}" srcOrd="0" destOrd="0" presId="urn:microsoft.com/office/officeart/2005/8/layout/hierarchy3"/>
    <dgm:cxn modelId="{27B28BA8-FDC4-45A7-8260-533F18A95160}" srcId="{4D5F6063-6740-4B19-8760-1B1FF22EC239}" destId="{84F73700-D86C-400F-A1C7-02F05EA7D591}" srcOrd="7" destOrd="0" parTransId="{A766959D-58FB-4262-A068-3E489C710311}" sibTransId="{99E97113-B578-4260-9F55-104C4484F224}"/>
    <dgm:cxn modelId="{14ACE785-7ECD-4813-8D7C-9682EB259013}" type="presOf" srcId="{326E41BE-4754-47F8-A827-BBC37D251A0F}" destId="{FB5CECAC-F592-4EF9-9EC0-3816895921F6}" srcOrd="0" destOrd="0" presId="urn:microsoft.com/office/officeart/2005/8/layout/hierarchy3"/>
    <dgm:cxn modelId="{ABCFEA04-9962-4423-A23C-94B5B27F3C4D}" type="presOf" srcId="{A5F90680-7B79-41D5-A8E6-225D31DC4B87}" destId="{D6215AF5-7EF5-4A3E-852E-D7F572D5A550}" srcOrd="0" destOrd="0" presId="urn:microsoft.com/office/officeart/2005/8/layout/hierarchy3"/>
    <dgm:cxn modelId="{7FFADBC1-FA30-491E-9EBE-435A7CE8D29D}" srcId="{5AB075D3-4772-4249-87E2-981573D971A2}" destId="{8CC3DD72-E01A-493D-AFFA-2FAE6A82A4C5}" srcOrd="5" destOrd="0" parTransId="{97142484-34EC-4734-ABDB-7CB245A1FED9}" sibTransId="{1D749683-D747-47B8-AC9C-309D2BDE41F0}"/>
    <dgm:cxn modelId="{6C3C3AB8-F064-4C9B-B4ED-95F8D967112C}" type="presOf" srcId="{51F9D806-2EE3-4AED-8BEE-343C1D021B17}" destId="{0F54DA13-D29D-4B2E-AC34-BA7B76F087BC}" srcOrd="0" destOrd="0" presId="urn:microsoft.com/office/officeart/2005/8/layout/hierarchy3"/>
    <dgm:cxn modelId="{A315E37E-609B-4C5C-A22E-6D90C45AF1F8}" type="presOf" srcId="{1F93073F-A891-4081-B936-134E3E38E97B}" destId="{D2D774DE-9D7D-43CD-B613-6C770A14CF9D}" srcOrd="0" destOrd="0" presId="urn:microsoft.com/office/officeart/2005/8/layout/hierarchy3"/>
    <dgm:cxn modelId="{CD793627-6AD7-4FFA-8A3E-587BAD6B1FC4}" srcId="{DE9C5063-817E-44A6-921B-644748024459}" destId="{2F57A7C8-EAD6-417A-9963-9CD75B56D62D}" srcOrd="6" destOrd="0" parTransId="{176850B5-6DEA-4471-A38D-379C3F990132}" sibTransId="{6A533A5A-6917-46BA-8131-BA065D6CA78A}"/>
    <dgm:cxn modelId="{4F26C27E-C45B-4F78-9B2C-F355B6E9DC4E}" srcId="{10B16838-4B8C-4050-ACEE-C87CC26561A9}" destId="{1D85DD8E-9930-4B52-9702-EF5ADCE54994}" srcOrd="0" destOrd="0" parTransId="{2CB9AC27-11DE-488A-AF0C-CE66563D9166}" sibTransId="{97089F76-3C5A-4B9B-9686-741359A69BB7}"/>
    <dgm:cxn modelId="{F38DAD63-AD05-4EEA-9732-FA1A46507CD9}" type="presOf" srcId="{76643A17-7219-4D26-A478-3DA7ABBB3831}" destId="{06B5EB08-F1A1-46FB-9780-4641E3F44AA5}" srcOrd="0" destOrd="0" presId="urn:microsoft.com/office/officeart/2005/8/layout/hierarchy3"/>
    <dgm:cxn modelId="{0BB20B35-4DF6-44DC-8E37-EC4C7E268FC4}" type="presOf" srcId="{6ED38035-E064-4876-911B-DF2B1DD7759A}" destId="{5EF1CBE8-9305-4D19-9DA9-6980C2EE2ADA}" srcOrd="0" destOrd="0" presId="urn:microsoft.com/office/officeart/2005/8/layout/hierarchy3"/>
    <dgm:cxn modelId="{6E0E374E-E551-4A17-91C6-06F236EBAF74}" type="presOf" srcId="{9C451123-527E-4107-B6F1-1AA8E171AB87}" destId="{9EA9F8C6-89E4-4311-AF9B-8E073D5CCF30}" srcOrd="0" destOrd="0" presId="urn:microsoft.com/office/officeart/2005/8/layout/hierarchy3"/>
    <dgm:cxn modelId="{47971520-F93E-4D71-AA9D-C7EED51BF27A}" srcId="{BBC86A5D-2C21-421A-964B-739E0F42C3AE}" destId="{EDA4ACD6-D82F-4219-B15C-7CF7815E19A9}" srcOrd="6" destOrd="0" parTransId="{643E8885-72B0-4407-8A01-39B7CE6760FC}" sibTransId="{86A5E47F-12F7-4B2D-836F-935FFA5B43CA}"/>
    <dgm:cxn modelId="{2A5D9BD2-3B23-4AE8-B1C2-F5846012E3EA}" srcId="{9E91244B-394B-4282-B1B9-5397BB35FD94}" destId="{85A7E419-7E13-49BF-BE18-787380B915B1}" srcOrd="0" destOrd="0" parTransId="{EB4A5AE6-FAA4-4EF9-B79E-8E70F3762B92}" sibTransId="{A7A899A7-25A4-450C-92AD-89B4D2278F80}"/>
    <dgm:cxn modelId="{5F2269C9-9DCC-4D34-A0F5-2A54AABA4D44}" type="presOf" srcId="{A3BE2314-58C4-465A-AD86-080BA4DE73F4}" destId="{1BE45920-5317-44CD-BA9D-66FCA3285ACC}" srcOrd="0" destOrd="0" presId="urn:microsoft.com/office/officeart/2005/8/layout/hierarchy3"/>
    <dgm:cxn modelId="{62729B8F-18E8-42B0-AAD3-980872E5845B}" srcId="{10B16838-4B8C-4050-ACEE-C87CC26561A9}" destId="{3E026255-5AE1-42AC-8D8E-316FF0A0C137}" srcOrd="4" destOrd="0" parTransId="{9300B2B8-EF3E-4014-8B73-A1D91584C0F3}" sibTransId="{B4820D7A-C964-4CCF-9DEE-7080DC760F7B}"/>
    <dgm:cxn modelId="{F6DE6736-8B7F-41CF-B61E-9FCE74D17846}" type="presOf" srcId="{9300B2B8-EF3E-4014-8B73-A1D91584C0F3}" destId="{0BDF7373-1C8B-43E6-9C25-04C4032410D5}" srcOrd="0" destOrd="0" presId="urn:microsoft.com/office/officeart/2005/8/layout/hierarchy3"/>
    <dgm:cxn modelId="{D1C36FDD-97FA-465D-8208-39DE7D2BCCBB}" type="presOf" srcId="{FD4ADFCF-C137-4A9E-8B8B-6644456E56A1}" destId="{074ED3D4-C555-4851-9801-AB9FC9A51698}" srcOrd="0" destOrd="0" presId="urn:microsoft.com/office/officeart/2005/8/layout/hierarchy3"/>
    <dgm:cxn modelId="{4CAF662E-4493-409D-8C98-26448781B5C1}" type="presOf" srcId="{22D9C15B-BB8E-44FD-8914-4467B159F567}" destId="{35AFD3DA-D476-40C2-AA0E-20199D0CA67E}" srcOrd="0" destOrd="0" presId="urn:microsoft.com/office/officeart/2005/8/layout/hierarchy3"/>
    <dgm:cxn modelId="{B6626526-364E-439C-8FA4-A466B8D0619A}" type="presOf" srcId="{962AD2A8-0651-4BC5-BF85-3FD458C91141}" destId="{49E3CA67-A205-42E9-9990-44EF699A4304}" srcOrd="0" destOrd="0" presId="urn:microsoft.com/office/officeart/2005/8/layout/hierarchy3"/>
    <dgm:cxn modelId="{4C0C6494-BB07-4521-B34E-4778C59CDBAA}" type="presOf" srcId="{7A3D7118-303D-43BD-BEBA-591D4DB3D964}" destId="{6EC9C46E-B716-4033-B482-7ADBB3BB9F1C}" srcOrd="0" destOrd="0" presId="urn:microsoft.com/office/officeart/2005/8/layout/hierarchy3"/>
    <dgm:cxn modelId="{B725FC95-9D4E-451F-A218-9523BA9CA4A6}" srcId="{5AB075D3-4772-4249-87E2-981573D971A2}" destId="{7D345893-6C98-47D8-91A6-0F9EE3434709}" srcOrd="3" destOrd="0" parTransId="{480E13F5-8408-4492-AEE6-AEA74F905FD2}" sibTransId="{76B11FC3-C091-466B-B97B-47F8EA6A7199}"/>
    <dgm:cxn modelId="{ABE56C25-C22F-4555-B18C-DB89DECBAAFA}" type="presOf" srcId="{7B1C066E-7351-4A55-AC8E-0A521AE9B6F8}" destId="{63E5433A-8461-4174-88BC-3D5E34B073C8}" srcOrd="0" destOrd="0" presId="urn:microsoft.com/office/officeart/2005/8/layout/hierarchy3"/>
    <dgm:cxn modelId="{29F032E9-4915-45EB-8C22-49BDC6CE7D8F}" type="presOf" srcId="{13760482-56DF-4BE1-BACC-0075F5F418A9}" destId="{7A448036-7A84-4889-BBF0-982B5C41BB20}" srcOrd="0" destOrd="0" presId="urn:microsoft.com/office/officeart/2005/8/layout/hierarchy3"/>
    <dgm:cxn modelId="{D4471F75-8D77-46A8-B3A3-08FDBD56592B}" type="presOf" srcId="{EC85BD0C-A80C-45A6-B9FA-6F7016FD779D}" destId="{1B3083FB-7C45-4326-820F-9AB8121504D6}" srcOrd="0" destOrd="0" presId="urn:microsoft.com/office/officeart/2005/8/layout/hierarchy3"/>
    <dgm:cxn modelId="{09B89C82-AADC-425A-B9DA-5FF9A8075A1C}" type="presOf" srcId="{3E6B1AF7-9B8E-4B2C-8375-9C760935F6C3}" destId="{5346D697-835D-4542-B356-4841923421FE}" srcOrd="0" destOrd="0" presId="urn:microsoft.com/office/officeart/2005/8/layout/hierarchy3"/>
    <dgm:cxn modelId="{1346780F-6C35-46CC-8C8C-6BC043A37408}" type="presOf" srcId="{85A7E419-7E13-49BF-BE18-787380B915B1}" destId="{0AC4C2F6-59F9-4494-A233-B3F9FC22F222}" srcOrd="0" destOrd="0" presId="urn:microsoft.com/office/officeart/2005/8/layout/hierarchy3"/>
    <dgm:cxn modelId="{610A0019-5456-4F0A-BDE9-E8123C282DA4}" type="presOf" srcId="{9504B6B4-DDAD-4AB1-9CA3-B46CB2A69EC6}" destId="{9096320E-5366-4DFE-A689-C16B2E8CB0E9}" srcOrd="0" destOrd="0" presId="urn:microsoft.com/office/officeart/2005/8/layout/hierarchy3"/>
    <dgm:cxn modelId="{509050AC-15AE-4E53-95DB-3E56AEFDE706}" type="presOf" srcId="{F2C6F392-7405-B941-AB4B-2DCF3D87E2B7}" destId="{3498CF6F-6510-8D4A-9C35-016FDC755DCC}" srcOrd="0" destOrd="0" presId="urn:microsoft.com/office/officeart/2005/8/layout/hierarchy3"/>
    <dgm:cxn modelId="{92C7F86C-CFDA-4DE3-8F7A-EFE391E264C0}" type="presOf" srcId="{FAF714C7-BD6E-45EE-B02A-8102E458A745}" destId="{BC30858D-93C8-4F94-B25D-1B20B7F4DB68}" srcOrd="0" destOrd="0" presId="urn:microsoft.com/office/officeart/2005/8/layout/hierarchy3"/>
    <dgm:cxn modelId="{565A1693-B701-45AB-A5E1-AD6534DC64A7}" type="presOf" srcId="{E31B053E-A420-B647-A62F-E660345489D0}" destId="{CC1D3026-C013-8F4A-8B56-EFBDD5142B78}" srcOrd="0" destOrd="0" presId="urn:microsoft.com/office/officeart/2005/8/layout/hierarchy3"/>
    <dgm:cxn modelId="{0BCC3803-6C24-46A2-B51D-E20A7A52781C}" type="presOf" srcId="{776C56EC-A84F-4BE5-B0D4-3D330518193B}" destId="{671524B5-1A14-4226-B985-B4DC02F1FC2E}" srcOrd="0" destOrd="0" presId="urn:microsoft.com/office/officeart/2005/8/layout/hierarchy3"/>
    <dgm:cxn modelId="{D3693510-B520-41CE-A56B-5A05EB997034}" srcId="{89FAAB76-109C-4B59-BE35-12BB3CECFF28}" destId="{961BED1F-DCFD-4DD0-9967-2BAECB94A83E}" srcOrd="4" destOrd="0" parTransId="{7A3D7118-303D-43BD-BEBA-591D4DB3D964}" sibTransId="{C2D0E74F-27E1-435E-841B-BE643768F9C1}"/>
    <dgm:cxn modelId="{96E635CA-8701-4556-8663-ABAC8F1A0446}" type="presOf" srcId="{BBC86A5D-2C21-421A-964B-739E0F42C3AE}" destId="{486D04D2-662D-4DC2-B8FC-FA1EDF696DC0}" srcOrd="0" destOrd="0" presId="urn:microsoft.com/office/officeart/2005/8/layout/hierarchy3"/>
    <dgm:cxn modelId="{942E44A9-A47F-46B9-8C6B-5659FFF7C5D9}" type="presOf" srcId="{D4B407F5-486D-4B7A-A472-04A31EE0FADD}" destId="{6DC3E65F-26C0-4C3E-A44E-F40A359E1ADB}" srcOrd="0" destOrd="0" presId="urn:microsoft.com/office/officeart/2005/8/layout/hierarchy3"/>
    <dgm:cxn modelId="{C457FACD-8F10-4E15-92AC-FEA2F287F8BB}" srcId="{5AB075D3-4772-4249-87E2-981573D971A2}" destId="{D607062B-FB01-4508-B904-539E0DF29B4A}" srcOrd="4" destOrd="0" parTransId="{C81F0447-B470-4D5C-8CA0-21D60F7268D9}" sibTransId="{D9E5B48D-9FFD-41D7-ACEC-D814FF4A7AB1}"/>
    <dgm:cxn modelId="{7CE37EE3-62C3-43EC-84B2-BC318C12A504}" srcId="{BBC86A5D-2C21-421A-964B-739E0F42C3AE}" destId="{68FA673C-A706-4098-A8B3-EF7BC6A01C1F}" srcOrd="3" destOrd="0" parTransId="{6B3F0C49-3B66-4DA1-9AA6-73C8A04B9B47}" sibTransId="{DC0297F2-041A-4781-8384-AA59C0AF2163}"/>
    <dgm:cxn modelId="{2B61FD78-57A3-47F7-BFD3-2C7B0EAAAC82}" srcId="{EECDC874-5450-C947-B592-9B7648206C76}" destId="{7F4754E4-698F-4321-86CA-3E41611ADE53}" srcOrd="1" destOrd="0" parTransId="{409575C1-DE41-45ED-BE30-062CB790AAC9}" sibTransId="{5478873B-9FC2-4CF1-A1D9-F5C885DCA195}"/>
    <dgm:cxn modelId="{6F038022-27B0-4B10-8666-3C355C00E3FB}" type="presOf" srcId="{9C451123-527E-4107-B6F1-1AA8E171AB87}" destId="{923D04DC-930C-4AFB-BC3C-CB39A5F1CF1D}" srcOrd="1" destOrd="0" presId="urn:microsoft.com/office/officeart/2005/8/layout/hierarchy3"/>
    <dgm:cxn modelId="{4C2A7ED2-11DB-4612-86BE-06E1629561EB}" srcId="{B24D7424-CBE8-4287-BAB3-8C0C7FE25E11}" destId="{0DBF97A0-0046-4ED2-BBF4-EB7D44910C65}" srcOrd="4" destOrd="0" parTransId="{B0105F56-B441-429F-9B75-0890B2059962}" sibTransId="{BD971BF6-A5EB-4A10-A0D6-E7624098D6DA}"/>
    <dgm:cxn modelId="{EB61EFDB-31B4-4B30-B1E8-D351F063FC38}" type="presOf" srcId="{1D85DD8E-9930-4B52-9702-EF5ADCE54994}" destId="{1ED27A7C-B790-45D8-A68D-765DF95AC235}" srcOrd="0" destOrd="0" presId="urn:microsoft.com/office/officeart/2005/8/layout/hierarchy3"/>
    <dgm:cxn modelId="{BB34BCBA-900E-47CE-AF1B-20EEA9F0634D}" srcId="{4D5F6063-6740-4B19-8760-1B1FF22EC239}" destId="{D066FF6B-FA91-49B1-A0D1-337F57DB7CEA}" srcOrd="0" destOrd="0" parTransId="{B06EEAC7-2679-41F6-88D4-5EF5D94B4A8C}" sibTransId="{24F07EEF-5A33-40CC-B69E-95648D839DFA}"/>
    <dgm:cxn modelId="{DB4C1028-160D-4209-B0C9-0CC58D6A6AB0}" type="presOf" srcId="{D840A87C-CD3B-4687-A434-EF9A77B208C1}" destId="{0E330C29-548B-453C-A7AB-3306E81C9B8E}" srcOrd="0" destOrd="0" presId="urn:microsoft.com/office/officeart/2005/8/layout/hierarchy3"/>
    <dgm:cxn modelId="{AA4D9879-1460-4044-A1C0-E0A47D103AD6}" type="presOf" srcId="{153B35FA-6F24-4CE5-9577-07E83AA4107E}" destId="{C87BD6DD-EE6C-489B-9CFF-8088DD3D99A4}" srcOrd="0" destOrd="0" presId="urn:microsoft.com/office/officeart/2005/8/layout/hierarchy3"/>
    <dgm:cxn modelId="{02C5E381-19F7-4C13-9EEB-EC8A3EF185DA}" type="presOf" srcId="{D8654678-09C6-4E4F-8F33-30B494071DA8}" destId="{ABE7ABB4-27CD-4686-84EE-772895C14336}" srcOrd="0" destOrd="0" presId="urn:microsoft.com/office/officeart/2005/8/layout/hierarchy3"/>
    <dgm:cxn modelId="{36E82EFE-C10D-434F-AA2B-C18188CD5FC9}" type="presOf" srcId="{BE2628FE-03DF-4409-9365-C1DB1B91D8AA}" destId="{772103B3-439E-4FD2-93AB-9EA1BEABCEFB}" srcOrd="0" destOrd="0" presId="urn:microsoft.com/office/officeart/2005/8/layout/hierarchy3"/>
    <dgm:cxn modelId="{0ABEEEED-6C3D-4630-A9CD-FBDDA28B831F}" type="presOf" srcId="{CE8A4B6B-F553-4483-A17D-734FD512C005}" destId="{4BE46022-C204-40BB-97E9-471BBB51D163}" srcOrd="0" destOrd="0" presId="urn:microsoft.com/office/officeart/2005/8/layout/hierarchy3"/>
    <dgm:cxn modelId="{E2B4190E-A864-4DDA-A677-CEAFF5338A23}" type="presOf" srcId="{B787B8B9-17FA-4DBE-B15E-7EE6E946F3E3}" destId="{C006F1D8-53B9-4C79-BB3D-9D8881EBBC7B}" srcOrd="0" destOrd="0" presId="urn:microsoft.com/office/officeart/2005/8/layout/hierarchy3"/>
    <dgm:cxn modelId="{617CE00C-EC90-4EB1-8DB5-AD9DE486DF6E}" srcId="{B24D7424-CBE8-4287-BAB3-8C0C7FE25E11}" destId="{7B1C066E-7351-4A55-AC8E-0A521AE9B6F8}" srcOrd="0" destOrd="0" parTransId="{70FDEC69-4A58-4397-A5F1-4882D742DCDF}" sibTransId="{4DC07BC3-F83A-4A36-B568-9AC7B356747E}"/>
    <dgm:cxn modelId="{6F73152F-11AB-4AC3-A239-B1E1FB29244D}" type="presOf" srcId="{D555F7FE-8196-4F50-8B71-3E9D0EAC5B6F}" destId="{1126EACF-AB58-4FAA-9E61-DAB3F98F9750}" srcOrd="0" destOrd="0" presId="urn:microsoft.com/office/officeart/2005/8/layout/hierarchy3"/>
    <dgm:cxn modelId="{2D0EEEF9-AC5D-47F9-AFF3-C9A15AB4D2B2}" srcId="{9C451123-527E-4107-B6F1-1AA8E171AB87}" destId="{4AD68944-C1C5-42AA-84BC-C72222A3E4B8}" srcOrd="0" destOrd="0" parTransId="{3B59CA56-1B18-4ED6-AA08-35CEEF3DEE62}" sibTransId="{D4A1ED24-ECB8-404E-932C-AD895507BF73}"/>
    <dgm:cxn modelId="{A9C3FD74-0CFC-4E08-892E-459D7DA32DCC}" type="presOf" srcId="{073719FE-7B5A-417A-94D3-00806D468204}" destId="{0366F8B6-106D-4CA6-BBBA-63B0F219FA00}" srcOrd="0" destOrd="0" presId="urn:microsoft.com/office/officeart/2005/8/layout/hierarchy3"/>
    <dgm:cxn modelId="{C5A8B070-B47A-4452-ABDC-B417F467DDDC}" type="presOf" srcId="{4AD68944-C1C5-42AA-84BC-C72222A3E4B8}" destId="{2EEC4A18-4CC0-43EB-BCB7-156A23926C15}" srcOrd="0" destOrd="0" presId="urn:microsoft.com/office/officeart/2005/8/layout/hierarchy3"/>
    <dgm:cxn modelId="{EA998780-FE3F-4765-ABEA-B53D4524EFB7}" srcId="{89FAAB76-109C-4B59-BE35-12BB3CECFF28}" destId="{3110BDCA-229F-4156-8E8A-72BAC25DEBB9}" srcOrd="7" destOrd="0" parTransId="{DFAC3E41-D125-477B-ACBB-FF1E6E0A45F7}" sibTransId="{DE61BA64-F770-4E2E-B874-382834A36B56}"/>
    <dgm:cxn modelId="{300887E9-0184-41EF-BB4F-87BF598719B9}" type="presOf" srcId="{253C6671-3B4E-4211-B060-CEF3F851DC7B}" destId="{EE88882D-B135-49A6-9E4E-F97A66EE5FED}" srcOrd="0" destOrd="0" presId="urn:microsoft.com/office/officeart/2005/8/layout/hierarchy3"/>
    <dgm:cxn modelId="{7D6EC10F-6DB1-4E62-A72C-6ADC54468469}" type="presOf" srcId="{5AB075D3-4772-4249-87E2-981573D971A2}" destId="{6E04BA8F-193A-4751-8235-2F1FD07A6A75}" srcOrd="1" destOrd="0" presId="urn:microsoft.com/office/officeart/2005/8/layout/hierarchy3"/>
    <dgm:cxn modelId="{DBEE0DB4-773A-41F9-9EE3-F2CF470453B6}" srcId="{5AB075D3-4772-4249-87E2-981573D971A2}" destId="{B787B8B9-17FA-4DBE-B15E-7EE6E946F3E3}" srcOrd="6" destOrd="0" parTransId="{4089B06B-D90E-4C0C-88F8-3275EC5A5747}" sibTransId="{A96DBD24-1C3C-42C1-BBA9-9378277E748D}"/>
    <dgm:cxn modelId="{4DCDCB3C-BC47-44E5-9389-CB2705A7EA1A}" type="presOf" srcId="{3110BDCA-229F-4156-8E8A-72BAC25DEBB9}" destId="{224F8E53-E8FB-414D-99C4-30D48557110B}" srcOrd="0" destOrd="0" presId="urn:microsoft.com/office/officeart/2005/8/layout/hierarchy3"/>
    <dgm:cxn modelId="{9506D352-F857-4848-BF0B-466D45001225}" type="presOf" srcId="{5EC466CF-51A7-4533-969E-29F63EBFC63F}" destId="{BD712024-DC5D-47A5-B593-2644C6CD09D7}" srcOrd="0" destOrd="0" presId="urn:microsoft.com/office/officeart/2005/8/layout/hierarchy3"/>
    <dgm:cxn modelId="{49B5AD2E-397F-4428-BF22-426DA7D0C18F}" srcId="{0AA128CA-68C7-43B2-8254-E18D0349E121}" destId="{5BDF9AC8-2BF5-410D-BEDA-D3C9BFF81E1A}" srcOrd="0" destOrd="0" parTransId="{F9C59650-F9D4-42D4-8848-8F96CD3A9A1A}" sibTransId="{A0FFCC34-9678-482A-8308-71318CCB1033}"/>
    <dgm:cxn modelId="{D7ED50B0-F383-42C2-B5AD-40631A5EE6EC}" type="presOf" srcId="{4D5F6063-6740-4B19-8760-1B1FF22EC239}" destId="{081FD966-E32F-4E03-9017-FF9B492E94AE}" srcOrd="1" destOrd="0" presId="urn:microsoft.com/office/officeart/2005/8/layout/hierarchy3"/>
    <dgm:cxn modelId="{127F142A-B31A-40B5-B08D-0AF5B625FCD9}" srcId="{DE9C5063-817E-44A6-921B-644748024459}" destId="{A5F90680-7B79-41D5-A8E6-225D31DC4B87}" srcOrd="5" destOrd="0" parTransId="{415FF3D0-5F1F-4B3C-B5AC-5AE94F4B606D}" sibTransId="{CC53C0BD-EF78-4D78-9116-3E7A4B914DB2}"/>
    <dgm:cxn modelId="{6135487B-F8F9-4853-BC58-113871B5D2DF}" type="presOf" srcId="{081B2C3F-C7C9-2846-9539-FEA98DF40933}" destId="{90378BE1-AB48-A945-969A-736A44B9B881}" srcOrd="0" destOrd="0" presId="urn:microsoft.com/office/officeart/2005/8/layout/hierarchy3"/>
    <dgm:cxn modelId="{24D16D57-B9B9-46CD-A0BC-5C3E037D18FD}" type="presOf" srcId="{FDC6F5C8-26EC-4F78-BC63-6FA9FA9337E3}" destId="{0770582F-4A06-4D3C-A958-E63B41E35C3B}" srcOrd="0" destOrd="0" presId="urn:microsoft.com/office/officeart/2005/8/layout/hierarchy3"/>
    <dgm:cxn modelId="{0BDE3183-0328-4F9C-A357-851E59F5B7A9}" type="presOf" srcId="{95366100-45A1-9043-9971-6C498D5A61BF}" destId="{E5CF7FAD-C962-CB46-A751-94AA8AFD82FF}" srcOrd="0" destOrd="0" presId="urn:microsoft.com/office/officeart/2005/8/layout/hierarchy3"/>
    <dgm:cxn modelId="{0521D125-C630-4217-9C39-A9FB084FC242}" type="presOf" srcId="{21B235CD-7FC8-4019-BE9D-3309A7020690}" destId="{B3E6DA36-07D9-40AA-8DCD-0B5BB30A0FF2}" srcOrd="0" destOrd="0" presId="urn:microsoft.com/office/officeart/2005/8/layout/hierarchy3"/>
    <dgm:cxn modelId="{8BE3CA8A-42D1-4320-9537-E3CD74B5400F}" srcId="{10B16838-4B8C-4050-ACEE-C87CC26561A9}" destId="{77461728-C5FF-4906-AF9B-CDF51D1C5981}" srcOrd="3" destOrd="0" parTransId="{FED32F89-786E-4CFD-9CC9-D15261B7651C}" sibTransId="{831AC66A-648A-47D3-A0A2-18D56E947781}"/>
    <dgm:cxn modelId="{49B7102A-D483-4EA1-B806-53F31B7A2B0E}" srcId="{89FAAB76-109C-4B59-BE35-12BB3CECFF28}" destId="{EEC9BF3D-3678-43E3-A49D-4DC4C4B21DBB}" srcOrd="2" destOrd="0" parTransId="{F959AF7D-4C0F-4B9C-95F4-750778868262}" sibTransId="{AFDDEF48-D233-4266-8B4D-16EBD7362581}"/>
    <dgm:cxn modelId="{DA352212-7F46-4625-AAF9-E861E802BFA5}" type="presOf" srcId="{D43D9762-0118-4725-A88D-A9BB4F308562}" destId="{CB7200DC-E2C9-4BFF-AC2E-45529D054893}" srcOrd="0" destOrd="0" presId="urn:microsoft.com/office/officeart/2005/8/layout/hierarchy3"/>
    <dgm:cxn modelId="{1237A01B-BF1E-475D-AF88-C395EF74A367}" srcId="{89FAAB76-109C-4B59-BE35-12BB3CECFF28}" destId="{99443A7C-39BE-4D8F-9443-5F88C668C990}" srcOrd="5" destOrd="0" parTransId="{22D9C15B-BB8E-44FD-8914-4467B159F567}" sibTransId="{3D0E8616-712C-47D3-82CE-3952ABF78E6C}"/>
    <dgm:cxn modelId="{6E95E831-8E65-446E-A24B-E4AF80584FE7}" type="presOf" srcId="{F424D584-F615-4491-8634-2300C420E9BE}" destId="{E25F78AC-D9A3-4527-A081-69508D879332}" srcOrd="0" destOrd="0" presId="urn:microsoft.com/office/officeart/2005/8/layout/hierarchy3"/>
    <dgm:cxn modelId="{1E00044E-A0CC-4A08-940E-935B35D71A18}" srcId="{4D5F6063-6740-4B19-8760-1B1FF22EC239}" destId="{F918369B-5BCE-4871-951B-D3798E267777}" srcOrd="1" destOrd="0" parTransId="{CDEDE2BA-D018-4405-9C34-FAABB00F2F01}" sibTransId="{ACC8B129-61A4-4A93-9B83-EF66F89B4CEC}"/>
    <dgm:cxn modelId="{C829C0F3-C272-4654-B1DE-7B16924395C4}" type="presOf" srcId="{D066FF6B-FA91-49B1-A0D1-337F57DB7CEA}" destId="{DB1CD593-3CB5-4185-B306-A644E64CBA75}" srcOrd="0" destOrd="0" presId="urn:microsoft.com/office/officeart/2005/8/layout/hierarchy3"/>
    <dgm:cxn modelId="{CF8C0640-8ABC-4B07-A601-B2B1A9841C42}" srcId="{BBC86A5D-2C21-421A-964B-739E0F42C3AE}" destId="{E88C1CDA-D45F-4C9D-938B-059BC98E3DCF}" srcOrd="0" destOrd="0" parTransId="{878B04D6-9922-4DEF-BBFD-1BD29219D113}" sibTransId="{B5053CFA-DF72-4B1B-9E6A-6F1E1E2B0366}"/>
    <dgm:cxn modelId="{FB7015B5-0F8A-485B-8D70-18771D8FE022}" type="presOf" srcId="{176850B5-6DEA-4471-A38D-379C3F990132}" destId="{54903EA2-514C-481C-B77E-6EE1E1F82A01}" srcOrd="0" destOrd="0" presId="urn:microsoft.com/office/officeart/2005/8/layout/hierarchy3"/>
    <dgm:cxn modelId="{5F2139DE-76F6-4265-B5AE-D3B25835B3ED}" type="presOf" srcId="{96112716-A665-4BD4-B8D9-8E1675CA3DF7}" destId="{1BD55BDE-EEDA-4488-A12E-249AFD1CDDBE}" srcOrd="0" destOrd="0" presId="urn:microsoft.com/office/officeart/2005/8/layout/hierarchy3"/>
    <dgm:cxn modelId="{3682B8C3-9197-4963-9873-B29F9754D0E6}" type="presOf" srcId="{9E91244B-394B-4282-B1B9-5397BB35FD94}" destId="{A70BCE07-3389-4E7E-9611-1EF39A1DD0D4}" srcOrd="1" destOrd="0" presId="urn:microsoft.com/office/officeart/2005/8/layout/hierarchy3"/>
    <dgm:cxn modelId="{0DB7E292-142B-4142-A9A7-4F1BA921901E}" type="presOf" srcId="{2B98C6EE-C0F4-4F92-9117-BEECC692FE7B}" destId="{69A0A544-CBD6-4051-95CB-8A5E7BD188AA}" srcOrd="0" destOrd="0" presId="urn:microsoft.com/office/officeart/2005/8/layout/hierarchy3"/>
    <dgm:cxn modelId="{F6AF7C6A-8751-4291-BCFE-D0B09F65C930}" srcId="{BBC86A5D-2C21-421A-964B-739E0F42C3AE}" destId="{F3BB5B20-705A-49CA-A850-2E645438BF92}" srcOrd="4" destOrd="0" parTransId="{E5BDF06F-3ACF-4A7F-8A6C-7CD144F66C22}" sibTransId="{723FD43A-3FFA-4327-A152-3D9A700190B7}"/>
    <dgm:cxn modelId="{005AA27D-869A-4CA4-A891-E4D26366CE6A}" type="presOf" srcId="{FC6D7D9F-26BD-4893-806D-0A5DA481E73E}" destId="{703F6B3B-678B-4B2C-8650-D6DEC19F2B92}" srcOrd="0" destOrd="0" presId="urn:microsoft.com/office/officeart/2005/8/layout/hierarchy3"/>
    <dgm:cxn modelId="{34D80DFF-D10F-41C5-A688-292F8370C650}" type="presOf" srcId="{38154F50-1EBD-4312-9CFA-181280422943}" destId="{26240FEC-1EBC-4563-935E-7527F2043085}" srcOrd="0" destOrd="0" presId="urn:microsoft.com/office/officeart/2005/8/layout/hierarchy3"/>
    <dgm:cxn modelId="{3474F895-49DB-43CF-90FB-71D463780F0E}" srcId="{EECDC874-5450-C947-B592-9B7648206C76}" destId="{CE8A4B6B-F553-4483-A17D-734FD512C005}" srcOrd="0" destOrd="0" parTransId="{D555F7FE-8196-4F50-8B71-3E9D0EAC5B6F}" sibTransId="{1BD16278-678C-4D4B-AE1B-C295FD0F0A24}"/>
    <dgm:cxn modelId="{F65AFDC6-AC13-4E63-BE02-2214B3F6AA90}" srcId="{4F31E03D-D87C-467D-A7AB-D06F4642FAC0}" destId="{275BBD9D-C392-4352-8CC5-7EF493032D38}" srcOrd="1" destOrd="0" parTransId="{DAB3F220-F44A-4B0B-B6F7-499EAE491F0D}" sibTransId="{7571F30A-7B06-4569-A2B7-C830FEFA1D1B}"/>
    <dgm:cxn modelId="{6F200291-C596-4581-BE6C-510178F73217}" type="presOf" srcId="{69479F0F-604D-4946-AA95-6B15C1659DE1}" destId="{A69D4215-CADA-4DB9-8F4D-A82529A9EC10}" srcOrd="0" destOrd="0" presId="urn:microsoft.com/office/officeart/2005/8/layout/hierarchy3"/>
    <dgm:cxn modelId="{9BBB1B25-9614-4188-AC0F-15563DCD2436}" type="presOf" srcId="{12C96E59-87B6-4D34-A6E6-018885628401}" destId="{A89A5AC8-8959-41E5-9FCE-485A6BC8977C}" srcOrd="0" destOrd="0" presId="urn:microsoft.com/office/officeart/2005/8/layout/hierarchy3"/>
    <dgm:cxn modelId="{9AB0EA5E-C492-44B0-8579-02B6F6CD2526}" type="presOf" srcId="{0EB675E9-4E9C-4FB3-844F-C7D2E1513E0A}" destId="{3EFB5B10-7F7C-4E85-BA02-6937929CFEA1}" srcOrd="0" destOrd="0" presId="urn:microsoft.com/office/officeart/2005/8/layout/hierarchy3"/>
    <dgm:cxn modelId="{CC11DDB3-6613-4FF9-8DAA-86A5C15A24B4}" srcId="{9C451123-527E-4107-B6F1-1AA8E171AB87}" destId="{AD653B30-F7CA-4FA3-B190-55C86475A69B}" srcOrd="1" destOrd="0" parTransId="{3AF9EF6A-40A3-4772-BED2-15C9CA54C500}" sibTransId="{FD7C4751-749B-4C31-BE00-7769A8DC6170}"/>
    <dgm:cxn modelId="{2D41E5C7-BACF-4083-82A0-A6BF20FA069B}" srcId="{4F31E03D-D87C-467D-A7AB-D06F4642FAC0}" destId="{E9D948D4-27AC-4D1D-AFC8-5174D4F7B37A}" srcOrd="3" destOrd="0" parTransId="{0B3FE62D-F67D-47BF-8A49-D65552ED4D1C}" sibTransId="{A7108F87-A95E-4F90-9F62-F23759ED1F6E}"/>
    <dgm:cxn modelId="{57F5B508-9367-3945-8B58-4E29E0C6A66F}" srcId="{4D5F6063-6740-4B19-8760-1B1FF22EC239}" destId="{6ED13C29-A9CD-6D42-94B0-F2598ECF76D8}" srcOrd="3" destOrd="0" parTransId="{1FE679B8-590B-EE4C-8FF7-8C2BA7991E2F}" sibTransId="{176E8EAB-B700-B949-9219-F01D15E47AE4}"/>
    <dgm:cxn modelId="{F2B10607-6FB2-4097-8854-67E3ED5D89BF}" type="presOf" srcId="{EECDC874-5450-C947-B592-9B7648206C76}" destId="{BEF30DB3-6086-0942-8886-ECEFDDF69247}" srcOrd="1" destOrd="0" presId="urn:microsoft.com/office/officeart/2005/8/layout/hierarchy3"/>
    <dgm:cxn modelId="{59B5BB68-94A8-4591-ACE6-E03C3C74E2AD}" srcId="{326E41BE-4754-47F8-A827-BBC37D251A0F}" destId="{5AB075D3-4772-4249-87E2-981573D971A2}" srcOrd="10" destOrd="0" parTransId="{70FF6727-5919-4889-BCA5-0DF80F5B6AE9}" sibTransId="{0DEF8C5C-7B81-41C4-A91E-31691EA1521E}"/>
    <dgm:cxn modelId="{853EC86C-8994-4F7B-B922-62449F70C700}" type="presOf" srcId="{77461728-C5FF-4906-AF9B-CDF51D1C5981}" destId="{8834174C-12BB-460A-A1CD-BD2DAFC304ED}" srcOrd="0" destOrd="0" presId="urn:microsoft.com/office/officeart/2005/8/layout/hierarchy3"/>
    <dgm:cxn modelId="{FD797855-C1FC-45F4-89D1-5375A945A8F3}" type="presOf" srcId="{E36C160B-539A-454D-A28D-BBAB6D5168D1}" destId="{BDDAC401-59B8-4017-93EE-521947E1802E}" srcOrd="0" destOrd="0" presId="urn:microsoft.com/office/officeart/2005/8/layout/hierarchy3"/>
    <dgm:cxn modelId="{0EA1EE14-3D26-445F-A49B-43DA9116DFAB}" srcId="{9C451123-527E-4107-B6F1-1AA8E171AB87}" destId="{1253B96C-DDFE-4160-9DF8-BA961DFD0BAB}" srcOrd="7" destOrd="0" parTransId="{401546A4-099F-4542-A53C-DD3F622B4554}" sibTransId="{040DD942-6942-41D1-982D-8FB9CD854AAA}"/>
    <dgm:cxn modelId="{B6E0A061-4BC4-43A0-9CD8-CEB2982A0F30}" type="presOf" srcId="{8CC3DD72-E01A-493D-AFFA-2FAE6A82A4C5}" destId="{2B835777-2A77-48A7-8645-82CEDD8169CC}" srcOrd="0" destOrd="0" presId="urn:microsoft.com/office/officeart/2005/8/layout/hierarchy3"/>
    <dgm:cxn modelId="{B9B73F63-1A89-4F39-8C42-1ED60BDE7E9C}" type="presOf" srcId="{F9C59650-F9D4-42D4-8848-8F96CD3A9A1A}" destId="{FFBBAA97-5FB0-4FBF-A1C9-43B155763F91}" srcOrd="0" destOrd="0" presId="urn:microsoft.com/office/officeart/2005/8/layout/hierarchy3"/>
    <dgm:cxn modelId="{6ED0A7DB-05F5-449B-8EB5-058AADD709C5}" srcId="{9E91244B-394B-4282-B1B9-5397BB35FD94}" destId="{2B98C6EE-C0F4-4F92-9117-BEECC692FE7B}" srcOrd="5" destOrd="0" parTransId="{CDA0107E-9289-46DB-8871-95556161102C}" sibTransId="{EE229D7D-CBD5-47A3-A46F-FBA588EFDA64}"/>
    <dgm:cxn modelId="{9DCB8C73-6645-4B6A-B868-E6132CADACBB}" type="presOf" srcId="{D607062B-FB01-4508-B904-539E0DF29B4A}" destId="{47E86BDE-F909-4BE8-B285-09A36A90319C}" srcOrd="0" destOrd="0" presId="urn:microsoft.com/office/officeart/2005/8/layout/hierarchy3"/>
    <dgm:cxn modelId="{E7FF581D-AC1F-4892-8B37-F1EDB7A66C11}" type="presOf" srcId="{D68FAA4F-3DB5-9548-936D-6CED84E179B1}" destId="{D49A867B-D962-9D46-80F9-FE1D8176E4D9}" srcOrd="0" destOrd="0" presId="urn:microsoft.com/office/officeart/2005/8/layout/hierarchy3"/>
    <dgm:cxn modelId="{0E90F63E-8808-4C3F-9669-5398BE003669}" srcId="{4D5F6063-6740-4B19-8760-1B1FF22EC239}" destId="{F424D584-F615-4491-8634-2300C420E9BE}" srcOrd="4" destOrd="0" parTransId="{5EC466CF-51A7-4533-969E-29F63EBFC63F}" sibTransId="{8444A307-E811-4CEE-AA8C-6E0524C07AC2}"/>
    <dgm:cxn modelId="{6204703E-DFA5-4206-9D32-A36D2FA49074}" srcId="{326E41BE-4754-47F8-A827-BBC37D251A0F}" destId="{B24D7424-CBE8-4287-BAB3-8C0C7FE25E11}" srcOrd="11" destOrd="0" parTransId="{F37D516C-953C-4595-A4F5-D4ABB2030A86}" sibTransId="{C9165D37-D1B7-4737-A1A2-EBB2E1E308DD}"/>
    <dgm:cxn modelId="{DA1F79E4-093D-804E-83E7-F2B621B69F42}" srcId="{4F31E03D-D87C-467D-A7AB-D06F4642FAC0}" destId="{2C905CED-0515-1448-AA9B-1F7CAA519AE0}" srcOrd="2" destOrd="0" parTransId="{081B2C3F-C7C9-2846-9539-FEA98DF40933}" sibTransId="{9EA2BD48-4001-7040-8EBE-996A1A605FC3}"/>
    <dgm:cxn modelId="{17599F5E-ED55-4B3E-AA86-D500995B288E}" type="presOf" srcId="{5479D00B-09C8-C74A-A350-6C9AE065486B}" destId="{96552010-156F-D443-A21D-1627CC97DA88}" srcOrd="0" destOrd="0" presId="urn:microsoft.com/office/officeart/2005/8/layout/hierarchy3"/>
    <dgm:cxn modelId="{B29A5A16-614C-465B-BBFB-76C95B691E32}" type="presOf" srcId="{2F57A7C8-EAD6-417A-9963-9CD75B56D62D}" destId="{C8F06C1C-14EB-4506-8BCF-EA31750E2251}" srcOrd="0" destOrd="0" presId="urn:microsoft.com/office/officeart/2005/8/layout/hierarchy3"/>
    <dgm:cxn modelId="{888AFB23-C9B4-454D-95D5-C7E3EEAB8506}" srcId="{4D5F6063-6740-4B19-8760-1B1FF22EC239}" destId="{D4B407F5-486D-4B7A-A472-04A31EE0FADD}" srcOrd="6" destOrd="0" parTransId="{7C0702BD-C077-440A-BD28-34943EED0574}" sibTransId="{063CD91F-F208-4D64-AE6E-818F0EA3D3C1}"/>
    <dgm:cxn modelId="{F50DD450-A057-466A-BAC7-CE1EEFD0C05B}" srcId="{0AA128CA-68C7-43B2-8254-E18D0349E121}" destId="{3D2176E4-C1CF-4867-8011-09AB320F5C15}" srcOrd="3" destOrd="0" parTransId="{022BADF1-21F4-4871-B989-0A2C399D2459}" sibTransId="{AC7B314B-0642-4A1A-AD00-F5E4C8E6AC8B}"/>
    <dgm:cxn modelId="{5D9C60A0-CDF5-4F09-9C4E-4D52847E1BD8}" type="presOf" srcId="{8697436E-899A-4BFF-9342-1EAEDDE98C3F}" destId="{46AFDF0E-A74A-411D-84FE-C38D9A979258}" srcOrd="0" destOrd="0" presId="urn:microsoft.com/office/officeart/2005/8/layout/hierarchy3"/>
    <dgm:cxn modelId="{C4891EB8-73FB-4727-80BD-E7A51377BDE1}" srcId="{9C451123-527E-4107-B6F1-1AA8E171AB87}" destId="{E97EFC66-2490-47D5-B913-6B93BFCC4350}" srcOrd="4" destOrd="0" parTransId="{C5858850-D638-44C1-8D22-3F275C640E8D}" sibTransId="{860D9298-495F-45AC-B4C8-7AA0556CA285}"/>
    <dgm:cxn modelId="{E3D87A08-4DC2-4612-AFBA-FCA894073B72}" type="presOf" srcId="{C8D04788-7D53-4117-AC36-C3D8B280F7A9}" destId="{DC2B96FF-B2BF-4304-9BAC-6BFEB7799D43}" srcOrd="0" destOrd="0" presId="urn:microsoft.com/office/officeart/2005/8/layout/hierarchy3"/>
    <dgm:cxn modelId="{DE24D2DE-200A-4182-A1DB-E58AE8DBF4D5}" type="presOf" srcId="{10B16838-4B8C-4050-ACEE-C87CC26561A9}" destId="{9E6721E9-247E-47D1-9165-F93C742B8C0C}" srcOrd="0" destOrd="0" presId="urn:microsoft.com/office/officeart/2005/8/layout/hierarchy3"/>
    <dgm:cxn modelId="{3B3E4629-6979-48A6-A4D8-99F1396F9504}" type="presOf" srcId="{65CC8946-E5D8-40CD-8953-BA95D427BA98}" destId="{62400304-2C2B-40AA-87ED-2A2E9570870E}" srcOrd="0" destOrd="0" presId="urn:microsoft.com/office/officeart/2005/8/layout/hierarchy3"/>
    <dgm:cxn modelId="{229A4D7C-FFD1-40B4-8D14-15ED006E4DBC}" type="presOf" srcId="{0AA128CA-68C7-43B2-8254-E18D0349E121}" destId="{752CB097-D75D-4E83-B0FF-B25D2BEEEDED}" srcOrd="0" destOrd="0" presId="urn:microsoft.com/office/officeart/2005/8/layout/hierarchy3"/>
    <dgm:cxn modelId="{7A6C5584-12EF-4B1B-8EC3-AC5A5C5DBEE3}" srcId="{326E41BE-4754-47F8-A827-BBC37D251A0F}" destId="{89FAAB76-109C-4B59-BE35-12BB3CECFF28}" srcOrd="5" destOrd="0" parTransId="{FC1D4075-CBFB-4E8A-86B3-225D688D4D3E}" sibTransId="{3076D278-0F75-41A5-90D3-63C94E681B7C}"/>
    <dgm:cxn modelId="{A88F65FC-A9E5-4467-990F-A670A3C59770}" srcId="{9C451123-527E-4107-B6F1-1AA8E171AB87}" destId="{6ED38035-E064-4876-911B-DF2B1DD7759A}" srcOrd="6" destOrd="0" parTransId="{65CC8946-E5D8-40CD-8953-BA95D427BA98}" sibTransId="{763D9A91-60E6-448F-B965-501506ACDA01}"/>
    <dgm:cxn modelId="{4D686CDA-C056-45C3-97B1-0117CE5471DD}" type="presOf" srcId="{BE205DB3-2BED-404D-8FE9-88B1AF6E4BCC}" destId="{DDED2177-4E23-42E5-A406-9A1C2EB960C1}" srcOrd="0" destOrd="0" presId="urn:microsoft.com/office/officeart/2005/8/layout/hierarchy3"/>
    <dgm:cxn modelId="{1C0B7E92-04A6-4BA6-A0FD-D4AC7F59388A}" type="presOf" srcId="{4F31E03D-D87C-467D-A7AB-D06F4642FAC0}" destId="{F720A983-BC56-44E4-AF5E-44A9C01E9E37}" srcOrd="1" destOrd="0" presId="urn:microsoft.com/office/officeart/2005/8/layout/hierarchy3"/>
    <dgm:cxn modelId="{5A0E6EA4-D9F5-4D4B-9616-CC014DE7C694}" type="presOf" srcId="{7B3F7E08-9193-41EA-952C-E79BD4AD865E}" destId="{5CC53F28-2877-439D-B8CE-A96A7BDFC642}" srcOrd="0" destOrd="0" presId="urn:microsoft.com/office/officeart/2005/8/layout/hierarchy3"/>
    <dgm:cxn modelId="{E0C6E65D-59F1-41C5-9FCB-E57E9E06DEAA}" type="presOf" srcId="{89FAAB76-109C-4B59-BE35-12BB3CECFF28}" destId="{CAFD4DD0-0A89-4375-9D04-F23018797150}" srcOrd="0" destOrd="0" presId="urn:microsoft.com/office/officeart/2005/8/layout/hierarchy3"/>
    <dgm:cxn modelId="{B4188099-BB5C-4829-9FA8-52B6A56B3F63}" type="presOf" srcId="{6ED13C29-A9CD-6D42-94B0-F2598ECF76D8}" destId="{77B6CE28-9638-3B4A-8C2A-4E1DDAB4996B}" srcOrd="0" destOrd="0" presId="urn:microsoft.com/office/officeart/2005/8/layout/hierarchy3"/>
    <dgm:cxn modelId="{D9209E15-1C9C-45E0-B2F3-F930D7BCAE43}" type="presOf" srcId="{819A3BFB-61B0-44DD-9879-0BBC02653777}" destId="{E2E94F2F-A8A2-4D46-B052-3AB788BD233C}" srcOrd="0" destOrd="0" presId="urn:microsoft.com/office/officeart/2005/8/layout/hierarchy3"/>
    <dgm:cxn modelId="{ED1ED88C-A1F2-4E42-8EF9-342472561857}" srcId="{5AB075D3-4772-4249-87E2-981573D971A2}" destId="{3271D8BB-0764-45B6-AFDD-23CFDDC8749B}" srcOrd="2" destOrd="0" parTransId="{38154F50-1EBD-4312-9CFA-181280422943}" sibTransId="{6C2770C7-E9D0-4E0C-9380-74AC23A827AE}"/>
    <dgm:cxn modelId="{EBE20D05-DF06-4260-863A-10572795DF3B}" srcId="{9E91244B-394B-4282-B1B9-5397BB35FD94}" destId="{F32D0024-841D-4CF3-B5CB-3AC28252AE03}" srcOrd="1" destOrd="0" parTransId="{0FBEF303-051B-4399-B536-5B3E42B2C063}" sibTransId="{2BC6D81B-1BB3-48E0-B668-64DB43E527EB}"/>
    <dgm:cxn modelId="{13A46497-00BB-4265-B87A-B4CD82D8E490}" type="presOf" srcId="{84F73700-D86C-400F-A1C7-02F05EA7D591}" destId="{D06F4CD2-1293-4657-B454-1AC3AC45A907}" srcOrd="0" destOrd="0" presId="urn:microsoft.com/office/officeart/2005/8/layout/hierarchy3"/>
    <dgm:cxn modelId="{384B80EA-D0D6-4D67-804C-4A219A2D1D24}" srcId="{0AA128CA-68C7-43B2-8254-E18D0349E121}" destId="{13760482-56DF-4BE1-BACC-0075F5F418A9}" srcOrd="2" destOrd="0" parTransId="{B43A2B18-0B28-4A31-B2F7-8FB95C36E948}" sibTransId="{3D98ACE8-3D6D-4C17-8A37-D3E28680739B}"/>
    <dgm:cxn modelId="{D01E8C92-2178-469F-8A2E-1750AE216A15}" srcId="{89FAAB76-109C-4B59-BE35-12BB3CECFF28}" destId="{F8DB0C66-438C-4671-BFC2-0BADAFFE270F}" srcOrd="8" destOrd="0" parTransId="{E36C160B-539A-454D-A28D-BBAB6D5168D1}" sibTransId="{2BB08FDD-1345-417A-AD29-778A2F6ECB94}"/>
    <dgm:cxn modelId="{7F3D0EEF-4518-4648-A274-A50168F4B525}" type="presOf" srcId="{D554594B-919A-459A-B026-8131C994B0BB}" destId="{8093AA2F-EF68-4EB0-888A-BB31D9E21C33}" srcOrd="0" destOrd="0" presId="urn:microsoft.com/office/officeart/2005/8/layout/hierarchy3"/>
    <dgm:cxn modelId="{245D19A5-1CB4-42FE-93F5-477B853F6B8C}" srcId="{10B16838-4B8C-4050-ACEE-C87CC26561A9}" destId="{253C6671-3B4E-4211-B060-CEF3F851DC7B}" srcOrd="1" destOrd="0" parTransId="{1D7DD449-7C7F-4C27-9CA5-896C83EEA377}" sibTransId="{23BCBE48-D3F3-4555-9BD9-627735476A2C}"/>
    <dgm:cxn modelId="{218C384B-8F7C-4B2B-98DA-97D8A000E75F}" type="presOf" srcId="{DAB3F220-F44A-4B0B-B6F7-499EAE491F0D}" destId="{500C4A3C-B1B9-49ED-B627-20684CAF1B1A}" srcOrd="0" destOrd="0" presId="urn:microsoft.com/office/officeart/2005/8/layout/hierarchy3"/>
    <dgm:cxn modelId="{FF4F15B0-3973-4E88-BDB7-435828967A8B}" srcId="{4F31E03D-D87C-467D-A7AB-D06F4642FAC0}" destId="{12C96E59-87B6-4D34-A6E6-018885628401}" srcOrd="0" destOrd="0" parTransId="{A3BE2314-58C4-465A-AD86-080BA4DE73F4}" sibTransId="{7C9547B0-928D-4C58-8246-62DFF353B3CB}"/>
    <dgm:cxn modelId="{29910308-AD1E-41E8-AC92-682FD17408F5}" type="presOf" srcId="{409575C1-DE41-45ED-BE30-062CB790AAC9}" destId="{178A2920-6220-466A-ADCA-E924386EC501}" srcOrd="0" destOrd="0" presId="urn:microsoft.com/office/officeart/2005/8/layout/hierarchy3"/>
    <dgm:cxn modelId="{3401FBBC-CBC7-4DB5-BB6C-D73382634C2C}" type="presOf" srcId="{2B12583C-2DF8-438A-AD8B-142DE926F7A2}" destId="{C678CBC6-8A84-42DB-8283-929690E413B0}" srcOrd="0" destOrd="0" presId="urn:microsoft.com/office/officeart/2005/8/layout/hierarchy3"/>
    <dgm:cxn modelId="{5C082786-7613-4830-87DE-DE6072BF258E}" type="presOf" srcId="{24D1337C-D0BF-4EDC-A767-48A10290CF29}" destId="{B119D55F-921F-48F7-95F2-E228A814BCF1}" srcOrd="0" destOrd="0" presId="urn:microsoft.com/office/officeart/2005/8/layout/hierarchy3"/>
    <dgm:cxn modelId="{EBC2522E-0112-4B41-82E2-537180BADA79}" srcId="{10B16838-4B8C-4050-ACEE-C87CC26561A9}" destId="{ADB6D666-4F9A-4A19-B9DC-582D73C3F211}" srcOrd="5" destOrd="0" parTransId="{617A7C11-ABC1-4AB5-8B80-1B70A3ACA8A0}" sibTransId="{805B8100-D636-44C1-A7C0-B3D4733796B8}"/>
    <dgm:cxn modelId="{1FE6F56E-8A2C-47F3-BB47-F97BD5CC33C4}" type="presOf" srcId="{B24D7424-CBE8-4287-BAB3-8C0C7FE25E11}" destId="{DA45EAED-9CE9-43DB-9B78-23A09701247E}" srcOrd="1" destOrd="0" presId="urn:microsoft.com/office/officeart/2005/8/layout/hierarchy3"/>
    <dgm:cxn modelId="{9BAE2BAE-2C48-4577-8717-6A92291D27A8}" type="presOf" srcId="{0B3FE62D-F67D-47BF-8A49-D65552ED4D1C}" destId="{22B02343-3D0B-416D-AB75-C3A59F23310E}" srcOrd="0" destOrd="0" presId="urn:microsoft.com/office/officeart/2005/8/layout/hierarchy3"/>
    <dgm:cxn modelId="{BEDE9AD0-FDA9-460A-A284-5AEE55452705}" type="presOf" srcId="{68FA673C-A706-4098-A8B3-EF7BC6A01C1F}" destId="{CCBDB0AA-DB80-478E-A795-C7542AC8034A}" srcOrd="0" destOrd="0" presId="urn:microsoft.com/office/officeart/2005/8/layout/hierarchy3"/>
    <dgm:cxn modelId="{A63C57CA-B704-4621-BF18-7E6F219E8DD7}" type="presOf" srcId="{DFAC3E41-D125-477B-ACBB-FF1E6E0A45F7}" destId="{6E04DBC0-A95C-45BE-90D0-C1E1D5505B2C}" srcOrd="0" destOrd="0" presId="urn:microsoft.com/office/officeart/2005/8/layout/hierarchy3"/>
    <dgm:cxn modelId="{6FD8B305-70D1-4EEA-B5EB-B013003F90C6}" srcId="{326E41BE-4754-47F8-A827-BBC37D251A0F}" destId="{4D5F6063-6740-4B19-8760-1B1FF22EC239}" srcOrd="1" destOrd="0" parTransId="{8DE52097-18D2-444E-85ED-8CD6F5B90628}" sibTransId="{A235FFB2-2E7C-4D6A-8C9B-E56DBA00FAD7}"/>
    <dgm:cxn modelId="{6C992C45-828A-461C-95D3-A803E18968C9}" type="presOf" srcId="{0FBEF303-051B-4399-B536-5B3E42B2C063}" destId="{B08D204B-DFF8-4739-9249-C2E499A6036A}" srcOrd="0" destOrd="0" presId="urn:microsoft.com/office/officeart/2005/8/layout/hierarchy3"/>
    <dgm:cxn modelId="{482E58B4-6B64-4CFA-9436-FC9F49B85C84}" type="presOf" srcId="{5BDF9AC8-2BF5-410D-BEDA-D3C9BFF81E1A}" destId="{201F5A66-BA5B-4EEF-9704-AC14E42354CF}" srcOrd="0" destOrd="0" presId="urn:microsoft.com/office/officeart/2005/8/layout/hierarchy3"/>
    <dgm:cxn modelId="{7983BC12-8DC9-4BBE-998A-E6A29C789593}" srcId="{326E41BE-4754-47F8-A827-BBC37D251A0F}" destId="{9E91244B-394B-4282-B1B9-5397BB35FD94}" srcOrd="2" destOrd="0" parTransId="{DB412376-E16F-4671-8425-FE6757BF72E3}" sibTransId="{E7933F0D-2BC7-4202-A150-66B1AD92382A}"/>
    <dgm:cxn modelId="{2AE85CF5-2B1C-4EE2-A4F9-9B9A61AA6B74}" type="presOf" srcId="{3271D8BB-0764-45B6-AFDD-23CFDDC8749B}" destId="{F2D5A5D4-C3E1-4773-9D7B-620CE449F4BB}" srcOrd="0" destOrd="0" presId="urn:microsoft.com/office/officeart/2005/8/layout/hierarchy3"/>
    <dgm:cxn modelId="{C60206FD-7C99-4294-97EE-1886311C6643}" srcId="{DE9C5063-817E-44A6-921B-644748024459}" destId="{CF166E8B-1ED3-40C5-B23E-E11E402644F7}" srcOrd="8" destOrd="0" parTransId="{0B6EEE45-8468-47E8-9A9A-6F11FD26DF90}" sibTransId="{54421637-2A9C-4E4F-9C50-D9C44A6AE88A}"/>
    <dgm:cxn modelId="{338D0504-363F-447B-A6DD-56B77941BC3F}" type="presOf" srcId="{AD653B30-F7CA-4FA3-B190-55C86475A69B}" destId="{CD905090-E9B1-46FD-9B88-7375A71A36DA}" srcOrd="0" destOrd="0" presId="urn:microsoft.com/office/officeart/2005/8/layout/hierarchy3"/>
    <dgm:cxn modelId="{86CFE9CB-7004-4D42-9E3F-47203CB07BEE}" srcId="{89FAAB76-109C-4B59-BE35-12BB3CECFF28}" destId="{FD9480BE-2425-421A-862C-57F89755700A}" srcOrd="3" destOrd="0" parTransId="{BE2628FE-03DF-4409-9365-C1DB1B91D8AA}" sibTransId="{B81F3C74-3564-4093-9FD6-50341366212F}"/>
    <dgm:cxn modelId="{2A727F7E-25B3-46C2-8716-4A63DDDB2CFF}" type="presOf" srcId="{66E7BA91-365D-4BE9-AF7A-3357E7D014A3}" destId="{4304132A-67E3-4DA4-B118-E9F58BD3787C}" srcOrd="0" destOrd="0" presId="urn:microsoft.com/office/officeart/2005/8/layout/hierarchy3"/>
    <dgm:cxn modelId="{768DA633-769C-4FAE-BC4A-774119E0F4D8}" type="presOf" srcId="{E5BDF06F-3ACF-4A7F-8A6C-7CD144F66C22}" destId="{210F25C1-9CCD-4BFB-B4D8-8170B3CF9E8C}" srcOrd="0" destOrd="0" presId="urn:microsoft.com/office/officeart/2005/8/layout/hierarchy3"/>
    <dgm:cxn modelId="{E3B3C4FD-C03B-4331-B650-E09A998EE013}" type="presOf" srcId="{643E8885-72B0-4407-8A01-39B7CE6760FC}" destId="{97DCB26E-B2F6-4E40-8BFF-2EB0CE4B1117}" srcOrd="0" destOrd="0" presId="urn:microsoft.com/office/officeart/2005/8/layout/hierarchy3"/>
    <dgm:cxn modelId="{FEDFC7FE-28DE-41C6-B2A8-A09462F33612}" srcId="{5AB075D3-4772-4249-87E2-981573D971A2}" destId="{0EB675E9-4E9C-4FB3-844F-C7D2E1513E0A}" srcOrd="7" destOrd="0" parTransId="{2B12583C-2DF8-438A-AD8B-142DE926F7A2}" sibTransId="{1A663A2A-9666-49FF-9490-9B814CED6143}"/>
    <dgm:cxn modelId="{2D4E6EC4-3B2B-4FAA-8759-14A0E57ECBBE}" type="presOf" srcId="{B0105F56-B441-429F-9B75-0890B2059962}" destId="{EB9D84AE-0AD7-49DE-A010-37876FECE848}" srcOrd="0" destOrd="0" presId="urn:microsoft.com/office/officeart/2005/8/layout/hierarchy3"/>
    <dgm:cxn modelId="{4EEF63E8-2B94-47AB-A263-208BA0616B26}" type="presOf" srcId="{0CB75F31-26E6-4915-B350-07B7045A188B}" destId="{7CDBBCF8-9242-4ACE-A53E-8AF415A48CA5}" srcOrd="0" destOrd="0" presId="urn:microsoft.com/office/officeart/2005/8/layout/hierarchy3"/>
    <dgm:cxn modelId="{F045BF53-DF24-4421-AA3E-9D0AD5DAEE2F}" type="presOf" srcId="{0B6EEE45-8468-47E8-9A9A-6F11FD26DF90}" destId="{83E8143B-A154-4601-91FA-6858962E69E6}" srcOrd="0" destOrd="0" presId="urn:microsoft.com/office/officeart/2005/8/layout/hierarchy3"/>
    <dgm:cxn modelId="{D19D8B3B-5E19-4E1A-9EB4-A4F013345923}" type="presOf" srcId="{B43A2B18-0B28-4A31-B2F7-8FB95C36E948}" destId="{2D14B6C3-27AA-4D87-9540-8A11C9A8DECC}" srcOrd="0" destOrd="0" presId="urn:microsoft.com/office/officeart/2005/8/layout/hierarchy3"/>
    <dgm:cxn modelId="{C491E688-E1C6-4003-B5B8-5EEB70FC5C9A}" srcId="{89FAAB76-109C-4B59-BE35-12BB3CECFF28}" destId="{FC8C7653-65CE-48E9-AF57-204C4CCE7A0F}" srcOrd="0" destOrd="0" parTransId="{7BF7DC6A-4756-40B7-A13F-D0FD8C1A3A82}" sibTransId="{CD3F1550-3B0C-4188-B5B3-424FBE6BB9CE}"/>
    <dgm:cxn modelId="{144FE700-EDB0-489C-9A1D-9BDE9E557BB6}" type="presOf" srcId="{4F31E03D-D87C-467D-A7AB-D06F4642FAC0}" destId="{270B280D-6EB8-48FE-B5A2-DD5B4EDF038B}" srcOrd="0" destOrd="0" presId="urn:microsoft.com/office/officeart/2005/8/layout/hierarchy3"/>
    <dgm:cxn modelId="{DA14A4C4-19E6-4D5C-BA12-846E44F8FE87}" type="presOf" srcId="{759834C1-12ED-A046-8966-60150A56989A}" destId="{B36F7E2B-7B37-D74E-8C97-4E7674AD95CE}" srcOrd="0" destOrd="0" presId="urn:microsoft.com/office/officeart/2005/8/layout/hierarchy3"/>
    <dgm:cxn modelId="{215A6402-B0A7-4FE3-A00A-3E152CCF1D05}" type="presOf" srcId="{D37B02FF-5ED0-41A8-B1F7-6BC3FC2E6255}" destId="{66B3C20E-F001-4345-B891-692248886E7B}" srcOrd="0" destOrd="0" presId="urn:microsoft.com/office/officeart/2005/8/layout/hierarchy3"/>
    <dgm:cxn modelId="{145B7FDE-C4E0-4A47-9771-2DADB40BC5AC}" srcId="{B24D7424-CBE8-4287-BAB3-8C0C7FE25E11}" destId="{FC6D7D9F-26BD-4893-806D-0A5DA481E73E}" srcOrd="3" destOrd="0" parTransId="{E9B6DD9E-AA0F-4B9F-831F-714025438846}" sibTransId="{9C39CDA1-FDC0-4B04-B8D2-CC74D5051519}"/>
    <dgm:cxn modelId="{02A5C811-B733-4280-89BB-55DA9E5B6869}" type="presOf" srcId="{DCC482A2-BA5F-4C23-8C83-51AA2662C1AA}" destId="{9D56423B-0F3E-4151-97FE-74138716FF22}" srcOrd="0" destOrd="0" presId="urn:microsoft.com/office/officeart/2005/8/layout/hierarchy3"/>
    <dgm:cxn modelId="{DBA8E403-B68F-4E42-9122-2217FD49C231}" srcId="{326E41BE-4754-47F8-A827-BBC37D251A0F}" destId="{9C451123-527E-4107-B6F1-1AA8E171AB87}" srcOrd="0" destOrd="0" parTransId="{0DB07CC7-217B-4BC2-B0B3-5A07EFB780CF}" sibTransId="{F453BBAA-F028-4172-8B45-9C0C2BE746A9}"/>
    <dgm:cxn modelId="{91779D00-BE3F-470E-9150-DAAC64061D5B}" type="presOf" srcId="{7C0702BD-C077-440A-BD28-34943EED0574}" destId="{48541E0C-F6D5-4B13-AFD8-F1F794D590D2}" srcOrd="0" destOrd="0" presId="urn:microsoft.com/office/officeart/2005/8/layout/hierarchy3"/>
    <dgm:cxn modelId="{37F9A4E4-69BC-494B-9F62-8EB96100DEBE}" type="presOf" srcId="{480E13F5-8408-4492-AEE6-AEA74F905FD2}" destId="{F47C86B4-9619-4DF6-A3D2-21F1DAA65C38}" srcOrd="0" destOrd="0" presId="urn:microsoft.com/office/officeart/2005/8/layout/hierarchy3"/>
    <dgm:cxn modelId="{B2E0C1CB-67D1-40A9-A438-4A7ACA624BA8}" type="presOf" srcId="{1D7DD449-7C7F-4C27-9CA5-896C83EEA377}" destId="{C95417D4-2D5C-4784-A46E-3FA905C97118}" srcOrd="0" destOrd="0" presId="urn:microsoft.com/office/officeart/2005/8/layout/hierarchy3"/>
    <dgm:cxn modelId="{077DB6A4-C18B-46FD-8D20-C41B75E787C6}" type="presOf" srcId="{F32D0024-841D-4CF3-B5CB-3AC28252AE03}" destId="{815B10D4-95BD-425D-801E-86460A4B8AB0}" srcOrd="0" destOrd="0" presId="urn:microsoft.com/office/officeart/2005/8/layout/hierarchy3"/>
    <dgm:cxn modelId="{914B247B-E5E3-BD48-8547-73AC9569FBE0}" srcId="{9C451123-527E-4107-B6F1-1AA8E171AB87}" destId="{759834C1-12ED-A046-8966-60150A56989A}" srcOrd="3" destOrd="0" parTransId="{0B948A8D-506C-AC43-A2F4-ED9BF0E03C60}" sibTransId="{A6CB6849-51FA-034A-B972-F7327DCD8021}"/>
    <dgm:cxn modelId="{B5402363-0DAA-4A58-8475-CF0B05C4359D}" type="presOf" srcId="{84BD4DDC-2844-4ED8-9158-70D265A7203D}" destId="{19092695-081E-4B33-ACB7-15DB9EE080E1}" srcOrd="0" destOrd="0" presId="urn:microsoft.com/office/officeart/2005/8/layout/hierarchy3"/>
    <dgm:cxn modelId="{44D047D1-E407-4E15-A5EF-8CA4B9EA6539}" type="presOf" srcId="{878B04D6-9922-4DEF-BBFD-1BD29219D113}" destId="{EB4E9BFC-D34D-441A-9FA0-031B7C4B3DCF}" srcOrd="0" destOrd="0" presId="urn:microsoft.com/office/officeart/2005/8/layout/hierarchy3"/>
    <dgm:cxn modelId="{3C0C1D03-506B-4311-94B6-D190D91F2A67}" type="presOf" srcId="{7BF7DC6A-4756-40B7-A13F-D0FD8C1A3A82}" destId="{A50638A3-1A03-4523-89A9-9FE90215E4B8}" srcOrd="0" destOrd="0" presId="urn:microsoft.com/office/officeart/2005/8/layout/hierarchy3"/>
    <dgm:cxn modelId="{271126B8-4E78-4473-9B98-BCC00CB86032}" type="presOf" srcId="{0DBF97A0-0046-4ED2-BBF4-EB7D44910C65}" destId="{5BE9385E-3711-48C1-B4B4-E86E9612A856}" srcOrd="0" destOrd="0" presId="urn:microsoft.com/office/officeart/2005/8/layout/hierarchy3"/>
    <dgm:cxn modelId="{4690E7FD-4721-4132-8FA9-0E01857AFBD9}" type="presOf" srcId="{70FDEC69-4A58-4397-A5F1-4882D742DCDF}" destId="{F8C760DF-3086-4F52-9BBF-05A88E365331}" srcOrd="0" destOrd="0" presId="urn:microsoft.com/office/officeart/2005/8/layout/hierarchy3"/>
    <dgm:cxn modelId="{7EFE392D-555A-4982-A04D-272B39AF4B37}" srcId="{DE9C5063-817E-44A6-921B-644748024459}" destId="{EFB8A608-B878-4152-A395-8F6A90818889}" srcOrd="7" destOrd="0" parTransId="{FAF714C7-BD6E-45EE-B02A-8102E458A745}" sibTransId="{5EE179A8-6711-42F0-AD52-63B9AB3D841A}"/>
    <dgm:cxn modelId="{EC2D4EA3-C8A7-4662-937F-8D4EAA0DC33F}" type="presOf" srcId="{9E91244B-394B-4282-B1B9-5397BB35FD94}" destId="{CB689C48-1483-4053-A81A-A0010197B91B}" srcOrd="0" destOrd="0" presId="urn:microsoft.com/office/officeart/2005/8/layout/hierarchy3"/>
    <dgm:cxn modelId="{7B2A8E89-344E-4A56-A53C-BE76C901B061}" srcId="{89FAAB76-109C-4B59-BE35-12BB3CECFF28}" destId="{468470EA-FB27-4C95-A837-2AEBF10E771D}" srcOrd="6" destOrd="0" parTransId="{96112716-A665-4BD4-B8D9-8E1675CA3DF7}" sibTransId="{5D39FB79-8C27-401C-B1AD-CCC41BCA8C70}"/>
    <dgm:cxn modelId="{224A6E40-C12C-4C5B-A162-C8E9B48F1E27}" type="presOf" srcId="{3941A3DF-8B6D-714C-9471-2F8F757FE3CB}" destId="{DE1A6646-27FB-E84A-8B59-4DFDCE5E185D}" srcOrd="0" destOrd="0" presId="urn:microsoft.com/office/officeart/2005/8/layout/hierarchy3"/>
    <dgm:cxn modelId="{82025DED-5DCE-A448-A9B4-90364AF6EEB9}" srcId="{4D5F6063-6740-4B19-8760-1B1FF22EC239}" destId="{3B97A161-BFA6-BC44-BA8C-461E9E3BB0AE}" srcOrd="8" destOrd="0" parTransId="{F2C6F392-7405-B941-AB4B-2DCF3D87E2B7}" sibTransId="{785CA24F-5388-C140-9529-1758D5540209}"/>
    <dgm:cxn modelId="{61028E58-F1C3-4618-B053-E3DC6473AAC0}" srcId="{0AA128CA-68C7-43B2-8254-E18D0349E121}" destId="{0CB75F31-26E6-4915-B350-07B7045A188B}" srcOrd="5" destOrd="0" parTransId="{56EC1E96-5BC5-4EF6-8907-35603B15E021}" sibTransId="{249FCB5C-FAFB-4DE0-97F0-3472BAF3F31F}"/>
    <dgm:cxn modelId="{5A2712A7-C76A-4F7B-B007-87D53725408B}" srcId="{4D5F6063-6740-4B19-8760-1B1FF22EC239}" destId="{7B3F7E08-9193-41EA-952C-E79BD4AD865E}" srcOrd="5" destOrd="0" parTransId="{AE3D3918-85D2-4890-865F-398CDB1045D0}" sibTransId="{B841CB77-51C6-4209-9B17-8C1F2AD4C01A}"/>
    <dgm:cxn modelId="{1DB69778-C805-4324-81A6-F6F10B73E03A}" type="presOf" srcId="{AE3D3918-85D2-4890-865F-398CDB1045D0}" destId="{C20F705C-7E91-4A59-8F2F-021DD26C886F}" srcOrd="0" destOrd="0" presId="urn:microsoft.com/office/officeart/2005/8/layout/hierarchy3"/>
    <dgm:cxn modelId="{3E79F1F7-18F4-4A10-83EE-08446BF19B76}" type="presOf" srcId="{F959AF7D-4C0F-4B9C-95F4-750778868262}" destId="{82D58536-7256-4F03-A080-87009E621FD3}" srcOrd="0" destOrd="0" presId="urn:microsoft.com/office/officeart/2005/8/layout/hierarchy3"/>
    <dgm:cxn modelId="{07DC688D-F561-4697-B6F2-AC730BAAFC36}" type="presOf" srcId="{DE9C5063-817E-44A6-921B-644748024459}" destId="{4C851505-02E9-4112-8E1D-0F73C74F3B27}" srcOrd="1" destOrd="0" presId="urn:microsoft.com/office/officeart/2005/8/layout/hierarchy3"/>
    <dgm:cxn modelId="{94FC0DA9-4495-4A8B-8259-D6CC2A6625F3}" srcId="{326E41BE-4754-47F8-A827-BBC37D251A0F}" destId="{BBC86A5D-2C21-421A-964B-739E0F42C3AE}" srcOrd="3" destOrd="0" parTransId="{EC468CE6-2DDF-483B-B7D8-AF2D1BC74FB0}" sibTransId="{48D56148-E625-4AF7-935C-BA33D461C846}"/>
    <dgm:cxn modelId="{7B1AF6A6-10A7-417F-A6FD-2831DB184C7E}" type="presOf" srcId="{6B3F0C49-3B66-4DA1-9AA6-73C8A04B9B47}" destId="{95645928-3DD2-4CF8-981F-291F84CC6062}" srcOrd="0" destOrd="0" presId="urn:microsoft.com/office/officeart/2005/8/layout/hierarchy3"/>
    <dgm:cxn modelId="{FD629A51-4AE8-4598-8D8F-41C04CFCE006}" type="presOf" srcId="{CAD399B2-9D81-4DFA-8EB4-91500913E0AE}" destId="{3B5F318E-3FDA-4636-B775-83978B34E623}" srcOrd="0" destOrd="0" presId="urn:microsoft.com/office/officeart/2005/8/layout/hierarchy3"/>
    <dgm:cxn modelId="{A0D9B5C0-B24F-49D2-996D-6A4685810336}" type="presOf" srcId="{1C0466E1-1A1C-4E29-9FFA-46C52D359124}" destId="{AC621D91-B256-4D40-997C-054F2D74C22D}" srcOrd="0" destOrd="0" presId="urn:microsoft.com/office/officeart/2005/8/layout/hierarchy3"/>
    <dgm:cxn modelId="{07BFBD40-E0C1-4DE0-B482-8218D56EA52F}" type="presOf" srcId="{EFFAE782-446C-481D-8962-C2D5A068A60E}" destId="{E91DA76E-E8B5-4DE3-858D-4466E8337ACD}" srcOrd="0" destOrd="0" presId="urn:microsoft.com/office/officeart/2005/8/layout/hierarchy3"/>
    <dgm:cxn modelId="{4BF196F9-AC9E-47A5-902B-FEF30E1689AB}" type="presOf" srcId="{9A7C9913-0801-4137-82B4-FCBDF466B336}" destId="{C99D6599-C75A-4064-942A-4C856C081137}" srcOrd="0" destOrd="0" presId="urn:microsoft.com/office/officeart/2005/8/layout/hierarchy3"/>
    <dgm:cxn modelId="{0429159C-BC78-45CC-9479-87A128BA4004}" type="presOf" srcId="{0DD9E40F-1942-4448-8FBE-AF0A7D5F6683}" destId="{96FBEF3B-D14F-4C45-8D40-7713014C6A12}" srcOrd="0" destOrd="0" presId="urn:microsoft.com/office/officeart/2005/8/layout/hierarchy3"/>
    <dgm:cxn modelId="{D836144F-E37A-45BE-A8A5-79065E861107}" type="presOf" srcId="{E88C1CDA-D45F-4C9D-938B-059BC98E3DCF}" destId="{52D4B31C-D5A1-4379-BC27-5233934DFB13}" srcOrd="0" destOrd="0" presId="urn:microsoft.com/office/officeart/2005/8/layout/hierarchy3"/>
    <dgm:cxn modelId="{B61E8758-3356-48F3-80FF-86CEAA11FA23}" type="presOf" srcId="{7D345893-6C98-47D8-91A6-0F9EE3434709}" destId="{AC69988B-8F72-456D-9F76-4080846680F9}" srcOrd="0" destOrd="0" presId="urn:microsoft.com/office/officeart/2005/8/layout/hierarchy3"/>
    <dgm:cxn modelId="{ACE62EB6-B2AB-459A-BCA6-A090EA4B2D86}" srcId="{9C451123-527E-4107-B6F1-1AA8E171AB87}" destId="{A3B90DE9-F0BD-4A4B-863B-5E37D634AAB2}" srcOrd="8" destOrd="0" parTransId="{D8654678-09C6-4E4F-8F33-30B494071DA8}" sibTransId="{CD14453B-E822-4A34-AA51-8FA15EE05A18}"/>
    <dgm:cxn modelId="{7270C053-CBF8-4A32-9AF0-D6F357A726B0}" type="presOf" srcId="{022BADF1-21F4-4871-B989-0A2C399D2459}" destId="{25240B53-ABE6-4921-87B3-9BF21774DB51}" srcOrd="0" destOrd="0" presId="urn:microsoft.com/office/officeart/2005/8/layout/hierarchy3"/>
    <dgm:cxn modelId="{4DD944E0-CF29-42E4-832A-0C824A6177E4}" type="presOf" srcId="{FC8C7653-65CE-48E9-AF57-204C4CCE7A0F}" destId="{8C96C606-BD91-4383-8C17-24642D58F828}" srcOrd="0" destOrd="0" presId="urn:microsoft.com/office/officeart/2005/8/layout/hierarchy3"/>
    <dgm:cxn modelId="{AA61D6A7-06B8-437C-AC08-7302AF95E13D}" type="presOf" srcId="{1253B96C-DDFE-4160-9DF8-BA961DFD0BAB}" destId="{BF0DE2EF-DB33-47F2-BD80-8CEE4B1C4496}" srcOrd="0" destOrd="0" presId="urn:microsoft.com/office/officeart/2005/8/layout/hierarchy3"/>
    <dgm:cxn modelId="{4BEA0336-D3BF-41AB-9607-9937889E7B23}" srcId="{4D5F6063-6740-4B19-8760-1B1FF22EC239}" destId="{D554594B-919A-459A-B026-8131C994B0BB}" srcOrd="2" destOrd="0" parTransId="{1C0466E1-1A1C-4E29-9FFA-46C52D359124}" sibTransId="{FB606BCB-6B88-4889-8549-743016A24333}"/>
    <dgm:cxn modelId="{A79D68FD-70BD-4241-B17A-57391ACA1838}" srcId="{326E41BE-4754-47F8-A827-BBC37D251A0F}" destId="{0AA128CA-68C7-43B2-8254-E18D0349E121}" srcOrd="9" destOrd="0" parTransId="{6687B415-6DE4-460F-AD4D-18FB22E34D52}" sibTransId="{ACF0E21E-EDA9-443D-BC46-6F5D2181A7E3}"/>
    <dgm:cxn modelId="{CAA7CBA3-3CD4-471E-89FF-8A21782D158C}" type="presOf" srcId="{EEC9BF3D-3678-43E3-A49D-4DC4C4B21DBB}" destId="{CD487801-7269-4A21-9901-2803CF3B3671}" srcOrd="0" destOrd="0" presId="urn:microsoft.com/office/officeart/2005/8/layout/hierarchy3"/>
    <dgm:cxn modelId="{6F3C066E-53F8-834E-97A4-2D7D04ECEAD4}" srcId="{DE9C5063-817E-44A6-921B-644748024459}" destId="{E31B053E-A420-B647-A62F-E660345489D0}" srcOrd="3" destOrd="0" parTransId="{5479D00B-09C8-C74A-A350-6C9AE065486B}" sibTransId="{78F9EDAE-CF69-1749-87CA-1EB01B075EDF}"/>
    <dgm:cxn modelId="{9D89FD53-9D60-4C6C-B24F-EA6E868924E7}" type="presOf" srcId="{C5858850-D638-44C1-8D22-3F275C640E8D}" destId="{FFCB0BD6-34BC-471A-9F5D-908F6B4EB85A}" srcOrd="0" destOrd="0" presId="urn:microsoft.com/office/officeart/2005/8/layout/hierarchy3"/>
    <dgm:cxn modelId="{DCEC0D3E-C35F-46F8-8C49-21371E2AC144}" type="presOf" srcId="{EFB8A608-B878-4152-A395-8F6A90818889}" destId="{A80A02D6-01E8-4387-BE04-83862B014CA5}" srcOrd="0" destOrd="0" presId="urn:microsoft.com/office/officeart/2005/8/layout/hierarchy3"/>
    <dgm:cxn modelId="{B866CBFB-E715-4C97-8037-B6B99EBB9FDC}" srcId="{0AA128CA-68C7-43B2-8254-E18D0349E121}" destId="{153B35FA-6F24-4CE5-9577-07E83AA4107E}" srcOrd="4" destOrd="0" parTransId="{FDC6F5C8-26EC-4F78-BC63-6FA9FA9337E3}" sibTransId="{466C0568-E55C-49C9-A5CB-0D6DB3F19494}"/>
    <dgm:cxn modelId="{6E55341E-9B23-4EC9-BDF6-B0C75FA02402}" type="presOf" srcId="{FED32F89-786E-4CFD-9CC9-D15261B7651C}" destId="{58E06262-C6E4-470B-817E-11E79538D49D}" srcOrd="0" destOrd="0" presId="urn:microsoft.com/office/officeart/2005/8/layout/hierarchy3"/>
    <dgm:cxn modelId="{4A1627BA-09ED-4CA3-A68A-598E5CBCDE33}" type="presOf" srcId="{4A83D6B1-A784-4644-8D91-E965CC418F20}" destId="{70CEA3FE-6D6F-41DA-B418-263C9DEAE5D2}" srcOrd="0" destOrd="0" presId="urn:microsoft.com/office/officeart/2005/8/layout/hierarchy3"/>
    <dgm:cxn modelId="{2F968485-074E-4020-9F9C-6364910F30AA}" type="presOf" srcId="{E9D948D4-27AC-4D1D-AFC8-5174D4F7B37A}" destId="{727BE799-8228-49FA-9CC5-8A63FE7EDDD5}" srcOrd="0" destOrd="0" presId="urn:microsoft.com/office/officeart/2005/8/layout/hierarchy3"/>
    <dgm:cxn modelId="{0430AF82-7E8A-4AB4-9B0D-E8BAF0A61C21}" type="presOf" srcId="{2C905CED-0515-1448-AA9B-1F7CAA519AE0}" destId="{E440E235-FAF0-5145-BC8F-664286BB4143}" srcOrd="0" destOrd="0" presId="urn:microsoft.com/office/officeart/2005/8/layout/hierarchy3"/>
    <dgm:cxn modelId="{FE231C65-A1D9-4EFF-BAAE-ED26970680B5}" type="presOf" srcId="{4089B06B-D90E-4C0C-88F8-3275EC5A5747}" destId="{1BA4EFBB-FDC7-474B-BE05-2E81B9550F80}" srcOrd="0" destOrd="0" presId="urn:microsoft.com/office/officeart/2005/8/layout/hierarchy3"/>
    <dgm:cxn modelId="{DF98BB5C-A0E2-40C7-A678-357CC5AFB91D}" srcId="{B24D7424-CBE8-4287-BAB3-8C0C7FE25E11}" destId="{4A83D6B1-A784-4644-8D91-E965CC418F20}" srcOrd="2" destOrd="0" parTransId="{819A3BFB-61B0-44DD-9879-0BBC02653777}" sibTransId="{CB4F377D-6A28-4FE5-8883-3E79017E94BD}"/>
    <dgm:cxn modelId="{6023FB96-0CBE-4CF2-88BC-EB5F1CFEB6D9}" type="presOf" srcId="{C81F0447-B470-4D5C-8CA0-21D60F7268D9}" destId="{A4940586-15EC-433C-A65B-F74ACB795285}" srcOrd="0" destOrd="0" presId="urn:microsoft.com/office/officeart/2005/8/layout/hierarchy3"/>
    <dgm:cxn modelId="{17CB2915-2F1B-478A-B0DD-15DA8AE8C0A5}" srcId="{BBC86A5D-2C21-421A-964B-739E0F42C3AE}" destId="{09ABE78D-08CB-41B2-BA9B-E467D934BDD5}" srcOrd="5" destOrd="0" parTransId="{EC85BD0C-A80C-45A6-B9FA-6F7016FD779D}" sibTransId="{A055BB82-C9AA-4C1A-B50A-8303EB7EC273}"/>
    <dgm:cxn modelId="{9FE4CC12-C362-4215-BD03-239DA51ABC0E}" srcId="{BBC86A5D-2C21-421A-964B-739E0F42C3AE}" destId="{9A2A1DF2-BECF-43D8-BB65-19027B0BF765}" srcOrd="1" destOrd="0" parTransId="{EE546B34-D563-47D4-9A01-C209D87D5B5E}" sibTransId="{A7C70811-C3B0-4575-BD62-46939E4A8908}"/>
    <dgm:cxn modelId="{EEC5910D-2EFA-4562-864A-66BD62409403}" srcId="{9C451123-527E-4107-B6F1-1AA8E171AB87}" destId="{9504B6B4-DDAD-4AB1-9CA3-B46CB2A69EC6}" srcOrd="10" destOrd="0" parTransId="{FD4ADFCF-C137-4A9E-8B8B-6644456E56A1}" sibTransId="{FDB660C9-0DD5-4789-8939-29AB054BA055}"/>
    <dgm:cxn modelId="{B05CBD02-0442-4859-91F5-384322756A5E}" type="presOf" srcId="{A3B90DE9-F0BD-4A4B-863B-5E37D634AAB2}" destId="{9AA3A743-C1EA-458A-AF84-69EAA6508F13}" srcOrd="0" destOrd="0" presId="urn:microsoft.com/office/officeart/2005/8/layout/hierarchy3"/>
    <dgm:cxn modelId="{A4066BC8-A265-4236-ADA3-D11947FB1E92}" type="presOf" srcId="{EDA4ACD6-D82F-4219-B15C-7CF7815E19A9}" destId="{6AECB3D5-0D79-487C-88DE-010954F18AA7}" srcOrd="0" destOrd="0" presId="urn:microsoft.com/office/officeart/2005/8/layout/hierarchy3"/>
    <dgm:cxn modelId="{3274AE92-3490-48CD-8FE8-5E223BAC7ED5}" srcId="{326E41BE-4754-47F8-A827-BBC37D251A0F}" destId="{DE9C5063-817E-44A6-921B-644748024459}" srcOrd="7" destOrd="0" parTransId="{76E74E0D-A027-4BE9-B230-821A53329B07}" sibTransId="{D1A28528-6EC6-4975-BE5F-7AAB4FEB2D12}"/>
    <dgm:cxn modelId="{592C744E-4E78-4317-832D-9497CDC3D816}" srcId="{DE9C5063-817E-44A6-921B-644748024459}" destId="{66E7BA91-365D-4BE9-AF7A-3357E7D014A3}" srcOrd="0" destOrd="0" parTransId="{BE205DB3-2BED-404D-8FE9-88B1AF6E4BCC}" sibTransId="{8A39A7E2-6BF7-4716-A54B-5C26D3D087D6}"/>
    <dgm:cxn modelId="{8010C751-934F-4E07-B0BC-6916D126D5FC}" type="presOf" srcId="{EECDC874-5450-C947-B592-9B7648206C76}" destId="{64BD7327-5585-1945-AFB4-A5202E0CFCF0}" srcOrd="0" destOrd="0" presId="urn:microsoft.com/office/officeart/2005/8/layout/hierarchy3"/>
    <dgm:cxn modelId="{2BAE9D3B-4DE0-4615-828E-F999EC17A926}" type="presOf" srcId="{A766959D-58FB-4262-A068-3E489C710311}" destId="{D85C097D-160A-4D98-83F7-CB0B18FEB871}" srcOrd="0" destOrd="0" presId="urn:microsoft.com/office/officeart/2005/8/layout/hierarchy3"/>
    <dgm:cxn modelId="{D9A5B609-9A1A-4CB5-8AC3-2D09622307D1}" type="presOf" srcId="{F3BB5B20-705A-49CA-A850-2E645438BF92}" destId="{3ECA8B0C-703B-4B96-9453-7D720D3420BA}" srcOrd="0" destOrd="0" presId="urn:microsoft.com/office/officeart/2005/8/layout/hierarchy3"/>
    <dgm:cxn modelId="{E5CB2B08-5536-42EC-8A57-2C6631292659}" srcId="{5AB075D3-4772-4249-87E2-981573D971A2}" destId="{76643A17-7219-4D26-A478-3DA7ABBB3831}" srcOrd="0" destOrd="0" parTransId="{D37B02FF-5ED0-41A8-B1F7-6BC3FC2E6255}" sibTransId="{35B2E3FB-0975-45CE-9FFD-5B74D380A9E5}"/>
    <dgm:cxn modelId="{B048C45E-E96B-45DE-B50E-EA3EE4576434}" type="presOf" srcId="{415FF3D0-5F1F-4B3C-B5AC-5AE94F4B606D}" destId="{AF1E4AC6-BDB7-411A-9A75-8B0A67D3AE66}" srcOrd="0" destOrd="0" presId="urn:microsoft.com/office/officeart/2005/8/layout/hierarchy3"/>
    <dgm:cxn modelId="{230D9B70-CD27-47E4-8F9A-B5828989793D}" type="presParOf" srcId="{FB5CECAC-F592-4EF9-9EC0-3816895921F6}" destId="{5F1CE34D-4AD4-40D9-9A6B-528DDA337C06}" srcOrd="0" destOrd="0" presId="urn:microsoft.com/office/officeart/2005/8/layout/hierarchy3"/>
    <dgm:cxn modelId="{8AD7CF7B-8DDF-46D2-95CA-26D5C56EFF3B}" type="presParOf" srcId="{5F1CE34D-4AD4-40D9-9A6B-528DDA337C06}" destId="{18703736-DE56-445F-B988-F4936B6574A3}" srcOrd="0" destOrd="0" presId="urn:microsoft.com/office/officeart/2005/8/layout/hierarchy3"/>
    <dgm:cxn modelId="{47C6E996-27D3-48C6-AEF9-20B10DFA546C}" type="presParOf" srcId="{18703736-DE56-445F-B988-F4936B6574A3}" destId="{9EA9F8C6-89E4-4311-AF9B-8E073D5CCF30}" srcOrd="0" destOrd="0" presId="urn:microsoft.com/office/officeart/2005/8/layout/hierarchy3"/>
    <dgm:cxn modelId="{E8B5996A-E98B-4362-AF28-38D7F3CEEB18}" type="presParOf" srcId="{18703736-DE56-445F-B988-F4936B6574A3}" destId="{923D04DC-930C-4AFB-BC3C-CB39A5F1CF1D}" srcOrd="1" destOrd="0" presId="urn:microsoft.com/office/officeart/2005/8/layout/hierarchy3"/>
    <dgm:cxn modelId="{86E91E43-B91B-4B83-A631-1D7A1419A71D}" type="presParOf" srcId="{5F1CE34D-4AD4-40D9-9A6B-528DDA337C06}" destId="{D24980F5-3D06-4AB1-8D02-9EA136F2DC29}" srcOrd="1" destOrd="0" presId="urn:microsoft.com/office/officeart/2005/8/layout/hierarchy3"/>
    <dgm:cxn modelId="{6394B5B3-C1BD-40D1-8EEF-060DA9D05FF7}" type="presParOf" srcId="{D24980F5-3D06-4AB1-8D02-9EA136F2DC29}" destId="{0C7ED6AA-63A2-487E-A236-F89162EC8C34}" srcOrd="0" destOrd="0" presId="urn:microsoft.com/office/officeart/2005/8/layout/hierarchy3"/>
    <dgm:cxn modelId="{29C0BAA8-DFF4-4ACC-8AED-ED876C7D5EDD}" type="presParOf" srcId="{D24980F5-3D06-4AB1-8D02-9EA136F2DC29}" destId="{2EEC4A18-4CC0-43EB-BCB7-156A23926C15}" srcOrd="1" destOrd="0" presId="urn:microsoft.com/office/officeart/2005/8/layout/hierarchy3"/>
    <dgm:cxn modelId="{EF106DAF-D08B-49A3-B569-C8109DB4CEA7}" type="presParOf" srcId="{D24980F5-3D06-4AB1-8D02-9EA136F2DC29}" destId="{6899B8B5-E16D-4FD7-8833-71B2A8C750F5}" srcOrd="2" destOrd="0" presId="urn:microsoft.com/office/officeart/2005/8/layout/hierarchy3"/>
    <dgm:cxn modelId="{0EF85893-1FBC-4874-B838-D9CF133E664C}" type="presParOf" srcId="{D24980F5-3D06-4AB1-8D02-9EA136F2DC29}" destId="{CD905090-E9B1-46FD-9B88-7375A71A36DA}" srcOrd="3" destOrd="0" presId="urn:microsoft.com/office/officeart/2005/8/layout/hierarchy3"/>
    <dgm:cxn modelId="{4852D5FB-2DBC-4EA4-A508-CC85C56EAC1D}" type="presParOf" srcId="{D24980F5-3D06-4AB1-8D02-9EA136F2DC29}" destId="{EEC53097-B7E8-0145-9E0F-DE0F2AA0C9D3}" srcOrd="4" destOrd="0" presId="urn:microsoft.com/office/officeart/2005/8/layout/hierarchy3"/>
    <dgm:cxn modelId="{18FFA1EF-463A-42C7-9749-94883F2D8218}" type="presParOf" srcId="{D24980F5-3D06-4AB1-8D02-9EA136F2DC29}" destId="{DE1A6646-27FB-E84A-8B59-4DFDCE5E185D}" srcOrd="5" destOrd="0" presId="urn:microsoft.com/office/officeart/2005/8/layout/hierarchy3"/>
    <dgm:cxn modelId="{1204FFA4-A834-4AD7-ABBA-F494FE7B9387}" type="presParOf" srcId="{D24980F5-3D06-4AB1-8D02-9EA136F2DC29}" destId="{3EFA0B18-764C-CF4E-A859-6A51F88D6BDA}" srcOrd="6" destOrd="0" presId="urn:microsoft.com/office/officeart/2005/8/layout/hierarchy3"/>
    <dgm:cxn modelId="{DD0D3510-4462-40E2-86E5-2F1ACFCD8A9D}" type="presParOf" srcId="{D24980F5-3D06-4AB1-8D02-9EA136F2DC29}" destId="{B36F7E2B-7B37-D74E-8C97-4E7674AD95CE}" srcOrd="7" destOrd="0" presId="urn:microsoft.com/office/officeart/2005/8/layout/hierarchy3"/>
    <dgm:cxn modelId="{C720DEE7-6C23-4AAA-99D2-C39DFA449E6E}" type="presParOf" srcId="{D24980F5-3D06-4AB1-8D02-9EA136F2DC29}" destId="{FFCB0BD6-34BC-471A-9F5D-908F6B4EB85A}" srcOrd="8" destOrd="0" presId="urn:microsoft.com/office/officeart/2005/8/layout/hierarchy3"/>
    <dgm:cxn modelId="{B4062C19-5106-4272-91C9-772043890344}" type="presParOf" srcId="{D24980F5-3D06-4AB1-8D02-9EA136F2DC29}" destId="{ABF50D47-F87A-4BD6-8F7C-25A9784894B3}" srcOrd="9" destOrd="0" presId="urn:microsoft.com/office/officeart/2005/8/layout/hierarchy3"/>
    <dgm:cxn modelId="{50DC946C-E51C-4B45-94C0-30651EB287E2}" type="presParOf" srcId="{D24980F5-3D06-4AB1-8D02-9EA136F2DC29}" destId="{3B5F318E-3FDA-4636-B775-83978B34E623}" srcOrd="10" destOrd="0" presId="urn:microsoft.com/office/officeart/2005/8/layout/hierarchy3"/>
    <dgm:cxn modelId="{152B9ED3-B106-4A73-B898-6B3EE646DA94}" type="presParOf" srcId="{D24980F5-3D06-4AB1-8D02-9EA136F2DC29}" destId="{E91DA76E-E8B5-4DE3-858D-4466E8337ACD}" srcOrd="11" destOrd="0" presId="urn:microsoft.com/office/officeart/2005/8/layout/hierarchy3"/>
    <dgm:cxn modelId="{41A4FC6E-1F0E-4A78-A6D6-4C385F144737}" type="presParOf" srcId="{D24980F5-3D06-4AB1-8D02-9EA136F2DC29}" destId="{62400304-2C2B-40AA-87ED-2A2E9570870E}" srcOrd="12" destOrd="0" presId="urn:microsoft.com/office/officeart/2005/8/layout/hierarchy3"/>
    <dgm:cxn modelId="{0D22021D-06A4-473C-ACD5-3B4C28B281CF}" type="presParOf" srcId="{D24980F5-3D06-4AB1-8D02-9EA136F2DC29}" destId="{5EF1CBE8-9305-4D19-9DA9-6980C2EE2ADA}" srcOrd="13" destOrd="0" presId="urn:microsoft.com/office/officeart/2005/8/layout/hierarchy3"/>
    <dgm:cxn modelId="{381F2577-05CF-424A-BD65-EB26415A9665}" type="presParOf" srcId="{D24980F5-3D06-4AB1-8D02-9EA136F2DC29}" destId="{72743F39-4F92-4C4D-B4F1-8B59A974E49B}" srcOrd="14" destOrd="0" presId="urn:microsoft.com/office/officeart/2005/8/layout/hierarchy3"/>
    <dgm:cxn modelId="{DC81189A-4DF0-4DAC-BC9B-04B2A56F9623}" type="presParOf" srcId="{D24980F5-3D06-4AB1-8D02-9EA136F2DC29}" destId="{BF0DE2EF-DB33-47F2-BD80-8CEE4B1C4496}" srcOrd="15" destOrd="0" presId="urn:microsoft.com/office/officeart/2005/8/layout/hierarchy3"/>
    <dgm:cxn modelId="{6EFC8FDC-E60E-4CC6-8D08-828213448979}" type="presParOf" srcId="{D24980F5-3D06-4AB1-8D02-9EA136F2DC29}" destId="{ABE7ABB4-27CD-4686-84EE-772895C14336}" srcOrd="16" destOrd="0" presId="urn:microsoft.com/office/officeart/2005/8/layout/hierarchy3"/>
    <dgm:cxn modelId="{C20DA9E5-A502-4666-A9E6-F2752CC62C7A}" type="presParOf" srcId="{D24980F5-3D06-4AB1-8D02-9EA136F2DC29}" destId="{9AA3A743-C1EA-458A-AF84-69EAA6508F13}" srcOrd="17" destOrd="0" presId="urn:microsoft.com/office/officeart/2005/8/layout/hierarchy3"/>
    <dgm:cxn modelId="{9571DD77-205B-47DF-815D-0C45D156A6EB}" type="presParOf" srcId="{D24980F5-3D06-4AB1-8D02-9EA136F2DC29}" destId="{96FBEF3B-D14F-4C45-8D40-7713014C6A12}" srcOrd="18" destOrd="0" presId="urn:microsoft.com/office/officeart/2005/8/layout/hierarchy3"/>
    <dgm:cxn modelId="{0AFDC699-2BBA-435E-B03A-944D1E0899E9}" type="presParOf" srcId="{D24980F5-3D06-4AB1-8D02-9EA136F2DC29}" destId="{A69D4215-CADA-4DB9-8F4D-A82529A9EC10}" srcOrd="19" destOrd="0" presId="urn:microsoft.com/office/officeart/2005/8/layout/hierarchy3"/>
    <dgm:cxn modelId="{C5F3A17A-0CA0-42EB-A374-DA1366F82686}" type="presParOf" srcId="{D24980F5-3D06-4AB1-8D02-9EA136F2DC29}" destId="{074ED3D4-C555-4851-9801-AB9FC9A51698}" srcOrd="20" destOrd="0" presId="urn:microsoft.com/office/officeart/2005/8/layout/hierarchy3"/>
    <dgm:cxn modelId="{3052994F-BA05-46E3-9D19-E4C3FEE108C5}" type="presParOf" srcId="{D24980F5-3D06-4AB1-8D02-9EA136F2DC29}" destId="{9096320E-5366-4DFE-A689-C16B2E8CB0E9}" srcOrd="21" destOrd="0" presId="urn:microsoft.com/office/officeart/2005/8/layout/hierarchy3"/>
    <dgm:cxn modelId="{02745B67-2211-4067-B9DB-BC92FF22F2D3}" type="presParOf" srcId="{FB5CECAC-F592-4EF9-9EC0-3816895921F6}" destId="{1B7F6797-C73B-4DE4-B551-5B90CAFC6887}" srcOrd="1" destOrd="0" presId="urn:microsoft.com/office/officeart/2005/8/layout/hierarchy3"/>
    <dgm:cxn modelId="{1280D1A6-FF40-49F8-B87D-B4518B601D3F}" type="presParOf" srcId="{1B7F6797-C73B-4DE4-B551-5B90CAFC6887}" destId="{FDC8DCEE-DAC6-492F-A12E-4D3C1F9628AD}" srcOrd="0" destOrd="0" presId="urn:microsoft.com/office/officeart/2005/8/layout/hierarchy3"/>
    <dgm:cxn modelId="{B5C57388-3960-4A9C-A5F1-AF04DB0D7180}" type="presParOf" srcId="{FDC8DCEE-DAC6-492F-A12E-4D3C1F9628AD}" destId="{BE263809-3046-4D93-93BA-883790AA0D29}" srcOrd="0" destOrd="0" presId="urn:microsoft.com/office/officeart/2005/8/layout/hierarchy3"/>
    <dgm:cxn modelId="{BF0BBD6A-2947-46D0-955D-993F8A218CBE}" type="presParOf" srcId="{FDC8DCEE-DAC6-492F-A12E-4D3C1F9628AD}" destId="{081FD966-E32F-4E03-9017-FF9B492E94AE}" srcOrd="1" destOrd="0" presId="urn:microsoft.com/office/officeart/2005/8/layout/hierarchy3"/>
    <dgm:cxn modelId="{CE544A80-8056-4D29-B992-4A7B4CAD3B31}" type="presParOf" srcId="{1B7F6797-C73B-4DE4-B551-5B90CAFC6887}" destId="{0F5D8EE0-7E3D-453B-BFD9-6A39E4DE6887}" srcOrd="1" destOrd="0" presId="urn:microsoft.com/office/officeart/2005/8/layout/hierarchy3"/>
    <dgm:cxn modelId="{901F794C-18BA-448C-9BE5-FB417E8AA442}" type="presParOf" srcId="{0F5D8EE0-7E3D-453B-BFD9-6A39E4DE6887}" destId="{DC572B6E-F658-4072-8BA1-252E63393B46}" srcOrd="0" destOrd="0" presId="urn:microsoft.com/office/officeart/2005/8/layout/hierarchy3"/>
    <dgm:cxn modelId="{6B0C7B02-F8C9-45E8-A31F-8A74071A3552}" type="presParOf" srcId="{0F5D8EE0-7E3D-453B-BFD9-6A39E4DE6887}" destId="{DB1CD593-3CB5-4185-B306-A644E64CBA75}" srcOrd="1" destOrd="0" presId="urn:microsoft.com/office/officeart/2005/8/layout/hierarchy3"/>
    <dgm:cxn modelId="{58A69619-E7DB-475D-B8BD-77C6E1793D02}" type="presParOf" srcId="{0F5D8EE0-7E3D-453B-BFD9-6A39E4DE6887}" destId="{AB03186D-EBEB-46CE-B98A-77DCB5DECCEC}" srcOrd="2" destOrd="0" presId="urn:microsoft.com/office/officeart/2005/8/layout/hierarchy3"/>
    <dgm:cxn modelId="{A84A9D83-4A14-4A58-A5C1-F1C11278D116}" type="presParOf" srcId="{0F5D8EE0-7E3D-453B-BFD9-6A39E4DE6887}" destId="{ADBC6EA6-470B-4373-B3EB-E4C93D572B9D}" srcOrd="3" destOrd="0" presId="urn:microsoft.com/office/officeart/2005/8/layout/hierarchy3"/>
    <dgm:cxn modelId="{D52D7ECD-0EBD-4623-8FDA-621BF9121DE0}" type="presParOf" srcId="{0F5D8EE0-7E3D-453B-BFD9-6A39E4DE6887}" destId="{AC621D91-B256-4D40-997C-054F2D74C22D}" srcOrd="4" destOrd="0" presId="urn:microsoft.com/office/officeart/2005/8/layout/hierarchy3"/>
    <dgm:cxn modelId="{FE53FD9B-5ECE-4FBD-88DC-1FCFA59A1DF9}" type="presParOf" srcId="{0F5D8EE0-7E3D-453B-BFD9-6A39E4DE6887}" destId="{8093AA2F-EF68-4EB0-888A-BB31D9E21C33}" srcOrd="5" destOrd="0" presId="urn:microsoft.com/office/officeart/2005/8/layout/hierarchy3"/>
    <dgm:cxn modelId="{91DCB22F-E1BF-4D44-B7FD-D18852E04E5B}" type="presParOf" srcId="{0F5D8EE0-7E3D-453B-BFD9-6A39E4DE6887}" destId="{4513A539-73EC-5545-B853-532E24248A08}" srcOrd="6" destOrd="0" presId="urn:microsoft.com/office/officeart/2005/8/layout/hierarchy3"/>
    <dgm:cxn modelId="{AD35E11E-8C27-43B5-8352-C5EE1083A740}" type="presParOf" srcId="{0F5D8EE0-7E3D-453B-BFD9-6A39E4DE6887}" destId="{77B6CE28-9638-3B4A-8C2A-4E1DDAB4996B}" srcOrd="7" destOrd="0" presId="urn:microsoft.com/office/officeart/2005/8/layout/hierarchy3"/>
    <dgm:cxn modelId="{89EBEECA-CA55-404D-B408-5BCCBB02E87F}" type="presParOf" srcId="{0F5D8EE0-7E3D-453B-BFD9-6A39E4DE6887}" destId="{BD712024-DC5D-47A5-B593-2644C6CD09D7}" srcOrd="8" destOrd="0" presId="urn:microsoft.com/office/officeart/2005/8/layout/hierarchy3"/>
    <dgm:cxn modelId="{2CEC9337-9D9F-4F7B-B892-1A8A050728D8}" type="presParOf" srcId="{0F5D8EE0-7E3D-453B-BFD9-6A39E4DE6887}" destId="{E25F78AC-D9A3-4527-A081-69508D879332}" srcOrd="9" destOrd="0" presId="urn:microsoft.com/office/officeart/2005/8/layout/hierarchy3"/>
    <dgm:cxn modelId="{1179A17A-18B4-4A75-8C13-A33D5A9EA273}" type="presParOf" srcId="{0F5D8EE0-7E3D-453B-BFD9-6A39E4DE6887}" destId="{C20F705C-7E91-4A59-8F2F-021DD26C886F}" srcOrd="10" destOrd="0" presId="urn:microsoft.com/office/officeart/2005/8/layout/hierarchy3"/>
    <dgm:cxn modelId="{73AB9597-21AB-42C4-B5A4-9A94E16BE2A9}" type="presParOf" srcId="{0F5D8EE0-7E3D-453B-BFD9-6A39E4DE6887}" destId="{5CC53F28-2877-439D-B8CE-A96A7BDFC642}" srcOrd="11" destOrd="0" presId="urn:microsoft.com/office/officeart/2005/8/layout/hierarchy3"/>
    <dgm:cxn modelId="{79E8D481-CB7E-4626-8D69-CCA19B37EEB6}" type="presParOf" srcId="{0F5D8EE0-7E3D-453B-BFD9-6A39E4DE6887}" destId="{48541E0C-F6D5-4B13-AFD8-F1F794D590D2}" srcOrd="12" destOrd="0" presId="urn:microsoft.com/office/officeart/2005/8/layout/hierarchy3"/>
    <dgm:cxn modelId="{D6D41AC3-08C1-4E33-9CFA-98C8E428B983}" type="presParOf" srcId="{0F5D8EE0-7E3D-453B-BFD9-6A39E4DE6887}" destId="{6DC3E65F-26C0-4C3E-A44E-F40A359E1ADB}" srcOrd="13" destOrd="0" presId="urn:microsoft.com/office/officeart/2005/8/layout/hierarchy3"/>
    <dgm:cxn modelId="{892F3A7D-A3A6-44B9-A1AB-D6DC0599F57E}" type="presParOf" srcId="{0F5D8EE0-7E3D-453B-BFD9-6A39E4DE6887}" destId="{D85C097D-160A-4D98-83F7-CB0B18FEB871}" srcOrd="14" destOrd="0" presId="urn:microsoft.com/office/officeart/2005/8/layout/hierarchy3"/>
    <dgm:cxn modelId="{D1576880-5A1E-4B87-82BE-21BF75340C9C}" type="presParOf" srcId="{0F5D8EE0-7E3D-453B-BFD9-6A39E4DE6887}" destId="{D06F4CD2-1293-4657-B454-1AC3AC45A907}" srcOrd="15" destOrd="0" presId="urn:microsoft.com/office/officeart/2005/8/layout/hierarchy3"/>
    <dgm:cxn modelId="{95D4F01F-CDF4-47AC-8FE0-F96DD6DAF289}" type="presParOf" srcId="{0F5D8EE0-7E3D-453B-BFD9-6A39E4DE6887}" destId="{3498CF6F-6510-8D4A-9C35-016FDC755DCC}" srcOrd="16" destOrd="0" presId="urn:microsoft.com/office/officeart/2005/8/layout/hierarchy3"/>
    <dgm:cxn modelId="{1D413AE1-1C79-47FC-9D7E-BD4E68509DF1}" type="presParOf" srcId="{0F5D8EE0-7E3D-453B-BFD9-6A39E4DE6887}" destId="{223640DF-E747-2D43-9BC1-5C922FDA3806}" srcOrd="17" destOrd="0" presId="urn:microsoft.com/office/officeart/2005/8/layout/hierarchy3"/>
    <dgm:cxn modelId="{FCEE9EF5-13A6-4D6A-B285-B0C835C4F5B6}" type="presParOf" srcId="{FB5CECAC-F592-4EF9-9EC0-3816895921F6}" destId="{B7680E8A-C14C-4D14-A4AF-CC1DF587CE00}" srcOrd="2" destOrd="0" presId="urn:microsoft.com/office/officeart/2005/8/layout/hierarchy3"/>
    <dgm:cxn modelId="{A6281F0F-6B1B-4EF9-88DD-E334D860893D}" type="presParOf" srcId="{B7680E8A-C14C-4D14-A4AF-CC1DF587CE00}" destId="{CE5DE197-57B6-41B7-A151-4F5A43CE316A}" srcOrd="0" destOrd="0" presId="urn:microsoft.com/office/officeart/2005/8/layout/hierarchy3"/>
    <dgm:cxn modelId="{4C2EBDA6-2893-43DA-A734-B25AD189D195}" type="presParOf" srcId="{CE5DE197-57B6-41B7-A151-4F5A43CE316A}" destId="{CB689C48-1483-4053-A81A-A0010197B91B}" srcOrd="0" destOrd="0" presId="urn:microsoft.com/office/officeart/2005/8/layout/hierarchy3"/>
    <dgm:cxn modelId="{743D9F05-CC5C-4FD0-8661-D5163BBAFD20}" type="presParOf" srcId="{CE5DE197-57B6-41B7-A151-4F5A43CE316A}" destId="{A70BCE07-3389-4E7E-9611-1EF39A1DD0D4}" srcOrd="1" destOrd="0" presId="urn:microsoft.com/office/officeart/2005/8/layout/hierarchy3"/>
    <dgm:cxn modelId="{ED82B52E-CA19-458D-AB67-184C99425600}" type="presParOf" srcId="{B7680E8A-C14C-4D14-A4AF-CC1DF587CE00}" destId="{7A145BC9-9F24-46F0-9D58-678BD985E63F}" srcOrd="1" destOrd="0" presId="urn:microsoft.com/office/officeart/2005/8/layout/hierarchy3"/>
    <dgm:cxn modelId="{D23CFEB7-BF20-4183-BD9B-B5DDC920AF8B}" type="presParOf" srcId="{7A145BC9-9F24-46F0-9D58-678BD985E63F}" destId="{E5141CE0-03B2-4833-A005-F337582B6D45}" srcOrd="0" destOrd="0" presId="urn:microsoft.com/office/officeart/2005/8/layout/hierarchy3"/>
    <dgm:cxn modelId="{8F485296-8267-40DB-AC53-223440013924}" type="presParOf" srcId="{7A145BC9-9F24-46F0-9D58-678BD985E63F}" destId="{0AC4C2F6-59F9-4494-A233-B3F9FC22F222}" srcOrd="1" destOrd="0" presId="urn:microsoft.com/office/officeart/2005/8/layout/hierarchy3"/>
    <dgm:cxn modelId="{F6906E91-C902-495F-A744-B7FE9D3B0CAB}" type="presParOf" srcId="{7A145BC9-9F24-46F0-9D58-678BD985E63F}" destId="{B08D204B-DFF8-4739-9249-C2E499A6036A}" srcOrd="2" destOrd="0" presId="urn:microsoft.com/office/officeart/2005/8/layout/hierarchy3"/>
    <dgm:cxn modelId="{04BD9CCE-7D58-4ADD-803E-147070114B39}" type="presParOf" srcId="{7A145BC9-9F24-46F0-9D58-678BD985E63F}" destId="{815B10D4-95BD-425D-801E-86460A4B8AB0}" srcOrd="3" destOrd="0" presId="urn:microsoft.com/office/officeart/2005/8/layout/hierarchy3"/>
    <dgm:cxn modelId="{81694838-991D-420A-B926-62BC6CC1CE31}" type="presParOf" srcId="{7A145BC9-9F24-46F0-9D58-678BD985E63F}" destId="{C99D6599-C75A-4064-942A-4C856C081137}" srcOrd="4" destOrd="0" presId="urn:microsoft.com/office/officeart/2005/8/layout/hierarchy3"/>
    <dgm:cxn modelId="{AF83B3A3-E6EC-4C21-AD88-CA63C82AE7C9}" type="presParOf" srcId="{7A145BC9-9F24-46F0-9D58-678BD985E63F}" destId="{4ED3B95B-3A76-4B68-A046-5A7B66E64246}" srcOrd="5" destOrd="0" presId="urn:microsoft.com/office/officeart/2005/8/layout/hierarchy3"/>
    <dgm:cxn modelId="{4A059DF2-0498-49E5-B36A-BBDD2288759C}" type="presParOf" srcId="{7A145BC9-9F24-46F0-9D58-678BD985E63F}" destId="{B2D2B523-0BED-43DF-A699-6F3C346F0F48}" srcOrd="6" destOrd="0" presId="urn:microsoft.com/office/officeart/2005/8/layout/hierarchy3"/>
    <dgm:cxn modelId="{208E8B80-0E8C-4418-A8F7-D486C38A2BDA}" type="presParOf" srcId="{7A145BC9-9F24-46F0-9D58-678BD985E63F}" destId="{D2D774DE-9D7D-43CD-B613-6C770A14CF9D}" srcOrd="7" destOrd="0" presId="urn:microsoft.com/office/officeart/2005/8/layout/hierarchy3"/>
    <dgm:cxn modelId="{359F7442-68C0-496B-B26A-76E742A0607C}" type="presParOf" srcId="{7A145BC9-9F24-46F0-9D58-678BD985E63F}" destId="{5346D697-835D-4542-B356-4841923421FE}" srcOrd="8" destOrd="0" presId="urn:microsoft.com/office/officeart/2005/8/layout/hierarchy3"/>
    <dgm:cxn modelId="{5312F90E-79A2-4606-B6EF-6CE690A1C053}" type="presParOf" srcId="{7A145BC9-9F24-46F0-9D58-678BD985E63F}" destId="{DC2B96FF-B2BF-4304-9BAC-6BFEB7799D43}" srcOrd="9" destOrd="0" presId="urn:microsoft.com/office/officeart/2005/8/layout/hierarchy3"/>
    <dgm:cxn modelId="{6FE50BF5-5C21-45B0-AEBA-ADDACF9CEFDF}" type="presParOf" srcId="{7A145BC9-9F24-46F0-9D58-678BD985E63F}" destId="{8F51B5D0-BAEE-4A9C-9228-32A7D692E2B4}" srcOrd="10" destOrd="0" presId="urn:microsoft.com/office/officeart/2005/8/layout/hierarchy3"/>
    <dgm:cxn modelId="{07B9A31B-5940-4633-A929-A347AA370D13}" type="presParOf" srcId="{7A145BC9-9F24-46F0-9D58-678BD985E63F}" destId="{69A0A544-CBD6-4051-95CB-8A5E7BD188AA}" srcOrd="11" destOrd="0" presId="urn:microsoft.com/office/officeart/2005/8/layout/hierarchy3"/>
    <dgm:cxn modelId="{A47EBFF8-C3AC-454C-B668-4A66F24E4CCE}" type="presParOf" srcId="{FB5CECAC-F592-4EF9-9EC0-3816895921F6}" destId="{92FF62E1-506E-4172-9425-BE947AC0D81F}" srcOrd="3" destOrd="0" presId="urn:microsoft.com/office/officeart/2005/8/layout/hierarchy3"/>
    <dgm:cxn modelId="{7B3DCBFB-484A-496B-B86D-7E1E97F95799}" type="presParOf" srcId="{92FF62E1-506E-4172-9425-BE947AC0D81F}" destId="{501999BE-DAA4-4F6E-8D72-EB9086834402}" srcOrd="0" destOrd="0" presId="urn:microsoft.com/office/officeart/2005/8/layout/hierarchy3"/>
    <dgm:cxn modelId="{C3A1BABF-75A1-45F9-A35B-71C19F98CB91}" type="presParOf" srcId="{501999BE-DAA4-4F6E-8D72-EB9086834402}" destId="{486D04D2-662D-4DC2-B8FC-FA1EDF696DC0}" srcOrd="0" destOrd="0" presId="urn:microsoft.com/office/officeart/2005/8/layout/hierarchy3"/>
    <dgm:cxn modelId="{1DAE8CE3-CD0F-4BDB-A04E-13D3FB0D218B}" type="presParOf" srcId="{501999BE-DAA4-4F6E-8D72-EB9086834402}" destId="{2B390FE5-DC7F-49C9-9B1B-187488F2F310}" srcOrd="1" destOrd="0" presId="urn:microsoft.com/office/officeart/2005/8/layout/hierarchy3"/>
    <dgm:cxn modelId="{F1719082-7046-40FD-89CE-C87CCAB0A8B2}" type="presParOf" srcId="{92FF62E1-506E-4172-9425-BE947AC0D81F}" destId="{E50C5D18-D2B1-41FA-ADDB-DACD36D98F0A}" srcOrd="1" destOrd="0" presId="urn:microsoft.com/office/officeart/2005/8/layout/hierarchy3"/>
    <dgm:cxn modelId="{EC351A5F-58D8-469D-B1D4-958CF9E3684E}" type="presParOf" srcId="{E50C5D18-D2B1-41FA-ADDB-DACD36D98F0A}" destId="{EB4E9BFC-D34D-441A-9FA0-031B7C4B3DCF}" srcOrd="0" destOrd="0" presId="urn:microsoft.com/office/officeart/2005/8/layout/hierarchy3"/>
    <dgm:cxn modelId="{1000FD25-5C54-4C08-BC8B-C20590D1F075}" type="presParOf" srcId="{E50C5D18-D2B1-41FA-ADDB-DACD36D98F0A}" destId="{52D4B31C-D5A1-4379-BC27-5233934DFB13}" srcOrd="1" destOrd="0" presId="urn:microsoft.com/office/officeart/2005/8/layout/hierarchy3"/>
    <dgm:cxn modelId="{675D641A-224C-42BC-B7B3-37794C038A34}" type="presParOf" srcId="{E50C5D18-D2B1-41FA-ADDB-DACD36D98F0A}" destId="{E6412531-F51C-4E36-803F-28F834FD428B}" srcOrd="2" destOrd="0" presId="urn:microsoft.com/office/officeart/2005/8/layout/hierarchy3"/>
    <dgm:cxn modelId="{D74655F5-FD61-468A-BCDD-F675559E49BF}" type="presParOf" srcId="{E50C5D18-D2B1-41FA-ADDB-DACD36D98F0A}" destId="{87C9C29D-36BC-4477-B943-D31D31D934DD}" srcOrd="3" destOrd="0" presId="urn:microsoft.com/office/officeart/2005/8/layout/hierarchy3"/>
    <dgm:cxn modelId="{C3195081-0F44-46B4-9247-561667A1EF1E}" type="presParOf" srcId="{E50C5D18-D2B1-41FA-ADDB-DACD36D98F0A}" destId="{B119D55F-921F-48F7-95F2-E228A814BCF1}" srcOrd="4" destOrd="0" presId="urn:microsoft.com/office/officeart/2005/8/layout/hierarchy3"/>
    <dgm:cxn modelId="{BCDF44C6-DF3E-4756-82C8-77535170B7A5}" type="presParOf" srcId="{E50C5D18-D2B1-41FA-ADDB-DACD36D98F0A}" destId="{546502DA-F340-43EB-ABA0-6C91DC4D5DED}" srcOrd="5" destOrd="0" presId="urn:microsoft.com/office/officeart/2005/8/layout/hierarchy3"/>
    <dgm:cxn modelId="{FA51B73D-7C13-424F-9386-0DF360E67CFD}" type="presParOf" srcId="{E50C5D18-D2B1-41FA-ADDB-DACD36D98F0A}" destId="{95645928-3DD2-4CF8-981F-291F84CC6062}" srcOrd="6" destOrd="0" presId="urn:microsoft.com/office/officeart/2005/8/layout/hierarchy3"/>
    <dgm:cxn modelId="{1813B224-7551-445E-B0A7-BD7A205D9C43}" type="presParOf" srcId="{E50C5D18-D2B1-41FA-ADDB-DACD36D98F0A}" destId="{CCBDB0AA-DB80-478E-A795-C7542AC8034A}" srcOrd="7" destOrd="0" presId="urn:microsoft.com/office/officeart/2005/8/layout/hierarchy3"/>
    <dgm:cxn modelId="{867F9017-E1CC-48BF-A38D-E386B4E4049E}" type="presParOf" srcId="{E50C5D18-D2B1-41FA-ADDB-DACD36D98F0A}" destId="{210F25C1-9CCD-4BFB-B4D8-8170B3CF9E8C}" srcOrd="8" destOrd="0" presId="urn:microsoft.com/office/officeart/2005/8/layout/hierarchy3"/>
    <dgm:cxn modelId="{90B6AED7-CD58-4AFD-B9E2-C7AD2C40D2E8}" type="presParOf" srcId="{E50C5D18-D2B1-41FA-ADDB-DACD36D98F0A}" destId="{3ECA8B0C-703B-4B96-9453-7D720D3420BA}" srcOrd="9" destOrd="0" presId="urn:microsoft.com/office/officeart/2005/8/layout/hierarchy3"/>
    <dgm:cxn modelId="{EA7370A5-D7E4-4E57-ADCE-A7FDC546DF1B}" type="presParOf" srcId="{E50C5D18-D2B1-41FA-ADDB-DACD36D98F0A}" destId="{1B3083FB-7C45-4326-820F-9AB8121504D6}" srcOrd="10" destOrd="0" presId="urn:microsoft.com/office/officeart/2005/8/layout/hierarchy3"/>
    <dgm:cxn modelId="{6849DC4E-8EB1-4169-A8B9-F8AF03B2CA29}" type="presParOf" srcId="{E50C5D18-D2B1-41FA-ADDB-DACD36D98F0A}" destId="{1D076C4F-EEC4-479F-AD10-BFFD143FF433}" srcOrd="11" destOrd="0" presId="urn:microsoft.com/office/officeart/2005/8/layout/hierarchy3"/>
    <dgm:cxn modelId="{686FB814-4008-496C-BE34-2BD2DF7672F4}" type="presParOf" srcId="{E50C5D18-D2B1-41FA-ADDB-DACD36D98F0A}" destId="{97DCB26E-B2F6-4E40-8BFF-2EB0CE4B1117}" srcOrd="12" destOrd="0" presId="urn:microsoft.com/office/officeart/2005/8/layout/hierarchy3"/>
    <dgm:cxn modelId="{53F5699A-8DFF-4A85-9D20-6DFA31F2090F}" type="presParOf" srcId="{E50C5D18-D2B1-41FA-ADDB-DACD36D98F0A}" destId="{6AECB3D5-0D79-487C-88DE-010954F18AA7}" srcOrd="13" destOrd="0" presId="urn:microsoft.com/office/officeart/2005/8/layout/hierarchy3"/>
    <dgm:cxn modelId="{70841D57-9DE5-4C54-9575-4CABDF029FB1}" type="presParOf" srcId="{FB5CECAC-F592-4EF9-9EC0-3816895921F6}" destId="{AAACEC8D-DD24-4A91-90A7-7CF80E34898C}" srcOrd="4" destOrd="0" presId="urn:microsoft.com/office/officeart/2005/8/layout/hierarchy3"/>
    <dgm:cxn modelId="{0A6FFC2F-C05A-4705-A5DE-60068EABC94C}" type="presParOf" srcId="{AAACEC8D-DD24-4A91-90A7-7CF80E34898C}" destId="{2365CB8B-FA02-459B-A830-C5C02278FAE6}" srcOrd="0" destOrd="0" presId="urn:microsoft.com/office/officeart/2005/8/layout/hierarchy3"/>
    <dgm:cxn modelId="{959DD936-2E86-4582-AA5F-DB098A5F70C7}" type="presParOf" srcId="{2365CB8B-FA02-459B-A830-C5C02278FAE6}" destId="{9E6721E9-247E-47D1-9165-F93C742B8C0C}" srcOrd="0" destOrd="0" presId="urn:microsoft.com/office/officeart/2005/8/layout/hierarchy3"/>
    <dgm:cxn modelId="{24F2FDA0-7CF9-42B8-B6DB-92A132898E48}" type="presParOf" srcId="{2365CB8B-FA02-459B-A830-C5C02278FAE6}" destId="{2B30ED3B-9242-4D7A-B3CC-26458FC1E5F3}" srcOrd="1" destOrd="0" presId="urn:microsoft.com/office/officeart/2005/8/layout/hierarchy3"/>
    <dgm:cxn modelId="{F59CE0F6-78AA-47F2-BE9F-4984606E64F9}" type="presParOf" srcId="{AAACEC8D-DD24-4A91-90A7-7CF80E34898C}" destId="{107B7516-17BE-4A49-A3D5-ABF1D71D2412}" srcOrd="1" destOrd="0" presId="urn:microsoft.com/office/officeart/2005/8/layout/hierarchy3"/>
    <dgm:cxn modelId="{678F779D-4B4E-44B2-8F57-CFDAB5FE3912}" type="presParOf" srcId="{107B7516-17BE-4A49-A3D5-ABF1D71D2412}" destId="{E4D0EA6E-52D6-4FFE-801C-9179013C8832}" srcOrd="0" destOrd="0" presId="urn:microsoft.com/office/officeart/2005/8/layout/hierarchy3"/>
    <dgm:cxn modelId="{D76C804B-DE5E-437F-AB01-019B762AD8EE}" type="presParOf" srcId="{107B7516-17BE-4A49-A3D5-ABF1D71D2412}" destId="{1ED27A7C-B790-45D8-A68D-765DF95AC235}" srcOrd="1" destOrd="0" presId="urn:microsoft.com/office/officeart/2005/8/layout/hierarchy3"/>
    <dgm:cxn modelId="{E92A7A52-DFCE-422F-89D7-7DDBA795F0F0}" type="presParOf" srcId="{107B7516-17BE-4A49-A3D5-ABF1D71D2412}" destId="{C95417D4-2D5C-4784-A46E-3FA905C97118}" srcOrd="2" destOrd="0" presId="urn:microsoft.com/office/officeart/2005/8/layout/hierarchy3"/>
    <dgm:cxn modelId="{B20E26F1-50AD-4B60-9359-9CB7E3C22AD2}" type="presParOf" srcId="{107B7516-17BE-4A49-A3D5-ABF1D71D2412}" destId="{EE88882D-B135-49A6-9E4E-F97A66EE5FED}" srcOrd="3" destOrd="0" presId="urn:microsoft.com/office/officeart/2005/8/layout/hierarchy3"/>
    <dgm:cxn modelId="{B4E084A8-F687-4CAC-A0E2-7300D51C5D56}" type="presParOf" srcId="{107B7516-17BE-4A49-A3D5-ABF1D71D2412}" destId="{016E86B3-05DE-433A-B0C7-9D6BD10DECCC}" srcOrd="4" destOrd="0" presId="urn:microsoft.com/office/officeart/2005/8/layout/hierarchy3"/>
    <dgm:cxn modelId="{96721A1C-3467-4F64-85B0-C72685D486AD}" type="presParOf" srcId="{107B7516-17BE-4A49-A3D5-ABF1D71D2412}" destId="{9D56423B-0F3E-4151-97FE-74138716FF22}" srcOrd="5" destOrd="0" presId="urn:microsoft.com/office/officeart/2005/8/layout/hierarchy3"/>
    <dgm:cxn modelId="{CFF71F36-3344-4452-AE25-5D901F89D7B9}" type="presParOf" srcId="{107B7516-17BE-4A49-A3D5-ABF1D71D2412}" destId="{58E06262-C6E4-470B-817E-11E79538D49D}" srcOrd="6" destOrd="0" presId="urn:microsoft.com/office/officeart/2005/8/layout/hierarchy3"/>
    <dgm:cxn modelId="{EC1EF643-8773-43B3-820A-D7E7566CF1BF}" type="presParOf" srcId="{107B7516-17BE-4A49-A3D5-ABF1D71D2412}" destId="{8834174C-12BB-460A-A1CD-BD2DAFC304ED}" srcOrd="7" destOrd="0" presId="urn:microsoft.com/office/officeart/2005/8/layout/hierarchy3"/>
    <dgm:cxn modelId="{2386BCCD-45DD-4FF0-B67B-87026291EBF7}" type="presParOf" srcId="{107B7516-17BE-4A49-A3D5-ABF1D71D2412}" destId="{0BDF7373-1C8B-43E6-9C25-04C4032410D5}" srcOrd="8" destOrd="0" presId="urn:microsoft.com/office/officeart/2005/8/layout/hierarchy3"/>
    <dgm:cxn modelId="{01E17018-F2AF-443F-9625-141988134BAA}" type="presParOf" srcId="{107B7516-17BE-4A49-A3D5-ABF1D71D2412}" destId="{FFF86389-7383-4DD1-B86F-4AE39DE5DCE2}" srcOrd="9" destOrd="0" presId="urn:microsoft.com/office/officeart/2005/8/layout/hierarchy3"/>
    <dgm:cxn modelId="{CE6D1A24-AD32-447B-BDC3-1621EF9B015C}" type="presParOf" srcId="{107B7516-17BE-4A49-A3D5-ABF1D71D2412}" destId="{D204DBB8-3F91-46BC-9FBD-BE13DD9402CD}" srcOrd="10" destOrd="0" presId="urn:microsoft.com/office/officeart/2005/8/layout/hierarchy3"/>
    <dgm:cxn modelId="{08484752-7F95-4670-A984-87B279BA7D5F}" type="presParOf" srcId="{107B7516-17BE-4A49-A3D5-ABF1D71D2412}" destId="{D088928E-2151-4244-8201-82336DD74D95}" srcOrd="11" destOrd="0" presId="urn:microsoft.com/office/officeart/2005/8/layout/hierarchy3"/>
    <dgm:cxn modelId="{6D1991F6-AA53-42BD-9602-573EBD6B5A73}" type="presParOf" srcId="{FB5CECAC-F592-4EF9-9EC0-3816895921F6}" destId="{CAF57C6A-9CCD-4B1D-B8E7-8C8E66F242D7}" srcOrd="5" destOrd="0" presId="urn:microsoft.com/office/officeart/2005/8/layout/hierarchy3"/>
    <dgm:cxn modelId="{53D4625D-AB04-4B9E-A3E6-56AA9013212F}" type="presParOf" srcId="{CAF57C6A-9CCD-4B1D-B8E7-8C8E66F242D7}" destId="{5B73F865-FD9C-4175-9432-F8407BA697AE}" srcOrd="0" destOrd="0" presId="urn:microsoft.com/office/officeart/2005/8/layout/hierarchy3"/>
    <dgm:cxn modelId="{DF75F5A9-D314-4FEA-ABF0-5045C939A6A4}" type="presParOf" srcId="{5B73F865-FD9C-4175-9432-F8407BA697AE}" destId="{CAFD4DD0-0A89-4375-9D04-F23018797150}" srcOrd="0" destOrd="0" presId="urn:microsoft.com/office/officeart/2005/8/layout/hierarchy3"/>
    <dgm:cxn modelId="{A7DA0FB2-96C6-4757-867C-A87C99C9DC8A}" type="presParOf" srcId="{5B73F865-FD9C-4175-9432-F8407BA697AE}" destId="{14AE5401-015A-41A3-A50E-5FC75A40B292}" srcOrd="1" destOrd="0" presId="urn:microsoft.com/office/officeart/2005/8/layout/hierarchy3"/>
    <dgm:cxn modelId="{6225677C-0F22-4D79-81F8-0FB013DEF833}" type="presParOf" srcId="{CAF57C6A-9CCD-4B1D-B8E7-8C8E66F242D7}" destId="{50F51E78-2D07-4185-9F51-6E0884FBD31F}" srcOrd="1" destOrd="0" presId="urn:microsoft.com/office/officeart/2005/8/layout/hierarchy3"/>
    <dgm:cxn modelId="{65F859F4-E795-4F82-9813-0152278D1972}" type="presParOf" srcId="{50F51E78-2D07-4185-9F51-6E0884FBD31F}" destId="{A50638A3-1A03-4523-89A9-9FE90215E4B8}" srcOrd="0" destOrd="0" presId="urn:microsoft.com/office/officeart/2005/8/layout/hierarchy3"/>
    <dgm:cxn modelId="{CE06A2D5-AD25-41B1-A4C4-14E3F55F6B74}" type="presParOf" srcId="{50F51E78-2D07-4185-9F51-6E0884FBD31F}" destId="{8C96C606-BD91-4383-8C17-24642D58F828}" srcOrd="1" destOrd="0" presId="urn:microsoft.com/office/officeart/2005/8/layout/hierarchy3"/>
    <dgm:cxn modelId="{7CEDCF37-FE85-4460-80D4-4EC9B036C67F}" type="presParOf" srcId="{50F51E78-2D07-4185-9F51-6E0884FBD31F}" destId="{0E330C29-548B-453C-A7AB-3306E81C9B8E}" srcOrd="2" destOrd="0" presId="urn:microsoft.com/office/officeart/2005/8/layout/hierarchy3"/>
    <dgm:cxn modelId="{7F57B740-8F4D-4090-A724-21FEB70E0163}" type="presParOf" srcId="{50F51E78-2D07-4185-9F51-6E0884FBD31F}" destId="{CB7200DC-E2C9-4BFF-AC2E-45529D054893}" srcOrd="3" destOrd="0" presId="urn:microsoft.com/office/officeart/2005/8/layout/hierarchy3"/>
    <dgm:cxn modelId="{59873FB6-248D-4796-A490-9121E7B98A60}" type="presParOf" srcId="{50F51E78-2D07-4185-9F51-6E0884FBD31F}" destId="{82D58536-7256-4F03-A080-87009E621FD3}" srcOrd="4" destOrd="0" presId="urn:microsoft.com/office/officeart/2005/8/layout/hierarchy3"/>
    <dgm:cxn modelId="{A64EFBC3-9AD3-4E20-B17B-CD314F520D6E}" type="presParOf" srcId="{50F51E78-2D07-4185-9F51-6E0884FBD31F}" destId="{CD487801-7269-4A21-9901-2803CF3B3671}" srcOrd="5" destOrd="0" presId="urn:microsoft.com/office/officeart/2005/8/layout/hierarchy3"/>
    <dgm:cxn modelId="{BCF76712-F977-4955-8921-711BAD1815BC}" type="presParOf" srcId="{50F51E78-2D07-4185-9F51-6E0884FBD31F}" destId="{772103B3-439E-4FD2-93AB-9EA1BEABCEFB}" srcOrd="6" destOrd="0" presId="urn:microsoft.com/office/officeart/2005/8/layout/hierarchy3"/>
    <dgm:cxn modelId="{1B5F5F26-DEA4-48F5-883B-98F87A19BEF7}" type="presParOf" srcId="{50F51E78-2D07-4185-9F51-6E0884FBD31F}" destId="{E26B5039-D262-4724-A675-C1A0F89721F6}" srcOrd="7" destOrd="0" presId="urn:microsoft.com/office/officeart/2005/8/layout/hierarchy3"/>
    <dgm:cxn modelId="{7C448019-1E49-47BF-A2B5-6B38F235AABE}" type="presParOf" srcId="{50F51E78-2D07-4185-9F51-6E0884FBD31F}" destId="{6EC9C46E-B716-4033-B482-7ADBB3BB9F1C}" srcOrd="8" destOrd="0" presId="urn:microsoft.com/office/officeart/2005/8/layout/hierarchy3"/>
    <dgm:cxn modelId="{66B11347-F3E6-470C-8ECE-1340EC7F9BBD}" type="presParOf" srcId="{50F51E78-2D07-4185-9F51-6E0884FBD31F}" destId="{E8E9A0AF-F767-4A01-BA2C-22035D29DC5A}" srcOrd="9" destOrd="0" presId="urn:microsoft.com/office/officeart/2005/8/layout/hierarchy3"/>
    <dgm:cxn modelId="{9CB9C069-5DE2-4C58-94DC-831F611B3A3F}" type="presParOf" srcId="{50F51E78-2D07-4185-9F51-6E0884FBD31F}" destId="{35AFD3DA-D476-40C2-AA0E-20199D0CA67E}" srcOrd="10" destOrd="0" presId="urn:microsoft.com/office/officeart/2005/8/layout/hierarchy3"/>
    <dgm:cxn modelId="{73A132B1-0754-43E4-A20C-1C7107DDAF4E}" type="presParOf" srcId="{50F51E78-2D07-4185-9F51-6E0884FBD31F}" destId="{522E8939-2ADE-4C03-8330-CB865A38FD64}" srcOrd="11" destOrd="0" presId="urn:microsoft.com/office/officeart/2005/8/layout/hierarchy3"/>
    <dgm:cxn modelId="{86A0A453-5A16-402E-953A-AFC6B55C3BA0}" type="presParOf" srcId="{50F51E78-2D07-4185-9F51-6E0884FBD31F}" destId="{1BD55BDE-EEDA-4488-A12E-249AFD1CDDBE}" srcOrd="12" destOrd="0" presId="urn:microsoft.com/office/officeart/2005/8/layout/hierarchy3"/>
    <dgm:cxn modelId="{D6380559-45B9-4050-9594-C8BC24603EA1}" type="presParOf" srcId="{50F51E78-2D07-4185-9F51-6E0884FBD31F}" destId="{488A8750-A971-4A28-B97D-6D6FC8A9FC64}" srcOrd="13" destOrd="0" presId="urn:microsoft.com/office/officeart/2005/8/layout/hierarchy3"/>
    <dgm:cxn modelId="{495C8B7F-6974-4AF9-8D8F-ADF54D64865C}" type="presParOf" srcId="{50F51E78-2D07-4185-9F51-6E0884FBD31F}" destId="{6E04DBC0-A95C-45BE-90D0-C1E1D5505B2C}" srcOrd="14" destOrd="0" presId="urn:microsoft.com/office/officeart/2005/8/layout/hierarchy3"/>
    <dgm:cxn modelId="{BFB071AF-AA07-481D-BA3C-48B67F08D3DB}" type="presParOf" srcId="{50F51E78-2D07-4185-9F51-6E0884FBD31F}" destId="{224F8E53-E8FB-414D-99C4-30D48557110B}" srcOrd="15" destOrd="0" presId="urn:microsoft.com/office/officeart/2005/8/layout/hierarchy3"/>
    <dgm:cxn modelId="{37823538-B93A-495C-AA5A-C8500E38A753}" type="presParOf" srcId="{50F51E78-2D07-4185-9F51-6E0884FBD31F}" destId="{BDDAC401-59B8-4017-93EE-521947E1802E}" srcOrd="16" destOrd="0" presId="urn:microsoft.com/office/officeart/2005/8/layout/hierarchy3"/>
    <dgm:cxn modelId="{A7C7EBC6-7C44-4C67-8CDB-CCC5A57C9221}" type="presParOf" srcId="{50F51E78-2D07-4185-9F51-6E0884FBD31F}" destId="{08205773-33E0-431A-9A9A-4D7884793206}" srcOrd="17" destOrd="0" presId="urn:microsoft.com/office/officeart/2005/8/layout/hierarchy3"/>
    <dgm:cxn modelId="{19E9E713-B27E-4167-813B-A6CC303B6E49}" type="presParOf" srcId="{FB5CECAC-F592-4EF9-9EC0-3816895921F6}" destId="{19F4642B-4BBE-A441-BAC7-41C1AF08B279}" srcOrd="6" destOrd="0" presId="urn:microsoft.com/office/officeart/2005/8/layout/hierarchy3"/>
    <dgm:cxn modelId="{2EA4C069-8BD9-4241-91D9-7E0ECB41AE23}" type="presParOf" srcId="{19F4642B-4BBE-A441-BAC7-41C1AF08B279}" destId="{24C0641A-8042-B646-B800-462247AAEC9D}" srcOrd="0" destOrd="0" presId="urn:microsoft.com/office/officeart/2005/8/layout/hierarchy3"/>
    <dgm:cxn modelId="{C6877469-6574-4C6E-A55E-B5A4F35BE09A}" type="presParOf" srcId="{24C0641A-8042-B646-B800-462247AAEC9D}" destId="{64BD7327-5585-1945-AFB4-A5202E0CFCF0}" srcOrd="0" destOrd="0" presId="urn:microsoft.com/office/officeart/2005/8/layout/hierarchy3"/>
    <dgm:cxn modelId="{4BF63988-8911-4645-964C-EF8A3A13C85B}" type="presParOf" srcId="{24C0641A-8042-B646-B800-462247AAEC9D}" destId="{BEF30DB3-6086-0942-8886-ECEFDDF69247}" srcOrd="1" destOrd="0" presId="urn:microsoft.com/office/officeart/2005/8/layout/hierarchy3"/>
    <dgm:cxn modelId="{80D63B3E-FC4D-4472-9102-DAB97B58B092}" type="presParOf" srcId="{19F4642B-4BBE-A441-BAC7-41C1AF08B279}" destId="{22E7AC96-1320-0C4E-AD82-C96596B0AD09}" srcOrd="1" destOrd="0" presId="urn:microsoft.com/office/officeart/2005/8/layout/hierarchy3"/>
    <dgm:cxn modelId="{1AED292A-508D-441A-A3DB-EE2AF3796F51}" type="presParOf" srcId="{22E7AC96-1320-0C4E-AD82-C96596B0AD09}" destId="{1126EACF-AB58-4FAA-9E61-DAB3F98F9750}" srcOrd="0" destOrd="0" presId="urn:microsoft.com/office/officeart/2005/8/layout/hierarchy3"/>
    <dgm:cxn modelId="{A5EEEABC-9AF0-41B9-9F31-7D7BFC5C282E}" type="presParOf" srcId="{22E7AC96-1320-0C4E-AD82-C96596B0AD09}" destId="{4BE46022-C204-40BB-97E9-471BBB51D163}" srcOrd="1" destOrd="0" presId="urn:microsoft.com/office/officeart/2005/8/layout/hierarchy3"/>
    <dgm:cxn modelId="{CBAD27F5-93D6-4B7F-92E7-D15EAFE0717D}" type="presParOf" srcId="{22E7AC96-1320-0C4E-AD82-C96596B0AD09}" destId="{178A2920-6220-466A-ADCA-E924386EC501}" srcOrd="2" destOrd="0" presId="urn:microsoft.com/office/officeart/2005/8/layout/hierarchy3"/>
    <dgm:cxn modelId="{E4F7C71D-71F8-4F5C-A931-217CE03A6DB1}" type="presParOf" srcId="{22E7AC96-1320-0C4E-AD82-C96596B0AD09}" destId="{CFA84F63-C3FB-4DE5-8416-AA278C1E6C47}" srcOrd="3" destOrd="0" presId="urn:microsoft.com/office/officeart/2005/8/layout/hierarchy3"/>
    <dgm:cxn modelId="{98337EC6-5420-437C-970B-F668E85AC777}" type="presParOf" srcId="{22E7AC96-1320-0C4E-AD82-C96596B0AD09}" destId="{CED995B1-0ED0-634C-B7C3-9F8999B1239F}" srcOrd="4" destOrd="0" presId="urn:microsoft.com/office/officeart/2005/8/layout/hierarchy3"/>
    <dgm:cxn modelId="{D165121F-F1DE-4128-AD92-743042192FE1}" type="presParOf" srcId="{22E7AC96-1320-0C4E-AD82-C96596B0AD09}" destId="{E5CF7FAD-C962-CB46-A751-94AA8AFD82FF}" srcOrd="5" destOrd="0" presId="urn:microsoft.com/office/officeart/2005/8/layout/hierarchy3"/>
    <dgm:cxn modelId="{FCFBF60F-BBBB-495B-84F5-6255C10E3A11}" type="presParOf" srcId="{22E7AC96-1320-0C4E-AD82-C96596B0AD09}" destId="{D49A867B-D962-9D46-80F9-FE1D8176E4D9}" srcOrd="6" destOrd="0" presId="urn:microsoft.com/office/officeart/2005/8/layout/hierarchy3"/>
    <dgm:cxn modelId="{BC993CFC-7174-4A2E-BACB-1F25D88262A6}" type="presParOf" srcId="{22E7AC96-1320-0C4E-AD82-C96596B0AD09}" destId="{E31DAE0A-D320-9C47-85E7-84264FF73021}" srcOrd="7" destOrd="0" presId="urn:microsoft.com/office/officeart/2005/8/layout/hierarchy3"/>
    <dgm:cxn modelId="{D2961E81-4C20-4220-846C-EEEFE988F7D5}" type="presParOf" srcId="{FB5CECAC-F592-4EF9-9EC0-3816895921F6}" destId="{8BB5B1E0-6CB9-43E9-8F03-8BE6FDA06784}" srcOrd="7" destOrd="0" presId="urn:microsoft.com/office/officeart/2005/8/layout/hierarchy3"/>
    <dgm:cxn modelId="{F0D97C48-2F04-46F8-A3F8-6E4E16729643}" type="presParOf" srcId="{8BB5B1E0-6CB9-43E9-8F03-8BE6FDA06784}" destId="{5127EB69-B765-4BEC-8DC0-B36DB24C4EED}" srcOrd="0" destOrd="0" presId="urn:microsoft.com/office/officeart/2005/8/layout/hierarchy3"/>
    <dgm:cxn modelId="{D7FFEB25-4067-47FD-8E3C-A62B5521A720}" type="presParOf" srcId="{5127EB69-B765-4BEC-8DC0-B36DB24C4EED}" destId="{A9EA69FF-7457-429F-8B6C-246485873E9B}" srcOrd="0" destOrd="0" presId="urn:microsoft.com/office/officeart/2005/8/layout/hierarchy3"/>
    <dgm:cxn modelId="{3B358FB5-FF95-4BCE-9D25-FC84A9487FF8}" type="presParOf" srcId="{5127EB69-B765-4BEC-8DC0-B36DB24C4EED}" destId="{4C851505-02E9-4112-8E1D-0F73C74F3B27}" srcOrd="1" destOrd="0" presId="urn:microsoft.com/office/officeart/2005/8/layout/hierarchy3"/>
    <dgm:cxn modelId="{423AB756-768B-4207-9168-435232F20CC7}" type="presParOf" srcId="{8BB5B1E0-6CB9-43E9-8F03-8BE6FDA06784}" destId="{C100B728-549D-4965-B333-9C25743A075A}" srcOrd="1" destOrd="0" presId="urn:microsoft.com/office/officeart/2005/8/layout/hierarchy3"/>
    <dgm:cxn modelId="{37C2153A-DEF9-46E2-BEC8-706C500ADF6E}" type="presParOf" srcId="{C100B728-549D-4965-B333-9C25743A075A}" destId="{DDED2177-4E23-42E5-A406-9A1C2EB960C1}" srcOrd="0" destOrd="0" presId="urn:microsoft.com/office/officeart/2005/8/layout/hierarchy3"/>
    <dgm:cxn modelId="{C1FE95A0-4BC0-4FE2-99C3-364897A15011}" type="presParOf" srcId="{C100B728-549D-4965-B333-9C25743A075A}" destId="{4304132A-67E3-4DA4-B118-E9F58BD3787C}" srcOrd="1" destOrd="0" presId="urn:microsoft.com/office/officeart/2005/8/layout/hierarchy3"/>
    <dgm:cxn modelId="{C1F99C87-63D5-4B3D-A245-B95DA7FBCA7E}" type="presParOf" srcId="{C100B728-549D-4965-B333-9C25743A075A}" destId="{0366F8B6-106D-4CA6-BBBA-63B0F219FA00}" srcOrd="2" destOrd="0" presId="urn:microsoft.com/office/officeart/2005/8/layout/hierarchy3"/>
    <dgm:cxn modelId="{A4B2E646-14B1-49BE-8725-98BF86C08211}" type="presParOf" srcId="{C100B728-549D-4965-B333-9C25743A075A}" destId="{B80407EB-3C95-4F9F-BC7D-FA93640029A0}" srcOrd="3" destOrd="0" presId="urn:microsoft.com/office/officeart/2005/8/layout/hierarchy3"/>
    <dgm:cxn modelId="{DDE987B7-1341-432C-B967-666A3B9C927F}" type="presParOf" srcId="{C100B728-549D-4965-B333-9C25743A075A}" destId="{19092695-081E-4B33-ACB7-15DB9EE080E1}" srcOrd="4" destOrd="0" presId="urn:microsoft.com/office/officeart/2005/8/layout/hierarchy3"/>
    <dgm:cxn modelId="{D113024F-A7D0-4D7F-B3E4-2ABB597274D4}" type="presParOf" srcId="{C100B728-549D-4965-B333-9C25743A075A}" destId="{D2494F15-BE3D-45DE-91D8-981596EDBC64}" srcOrd="5" destOrd="0" presId="urn:microsoft.com/office/officeart/2005/8/layout/hierarchy3"/>
    <dgm:cxn modelId="{96C9A848-0250-4AB0-AA07-AC83F12A7A57}" type="presParOf" srcId="{C100B728-549D-4965-B333-9C25743A075A}" destId="{96552010-156F-D443-A21D-1627CC97DA88}" srcOrd="6" destOrd="0" presId="urn:microsoft.com/office/officeart/2005/8/layout/hierarchy3"/>
    <dgm:cxn modelId="{DC9E4C98-565F-4168-BAC5-F32B2BDDEB85}" type="presParOf" srcId="{C100B728-549D-4965-B333-9C25743A075A}" destId="{CC1D3026-C013-8F4A-8B56-EFBDD5142B78}" srcOrd="7" destOrd="0" presId="urn:microsoft.com/office/officeart/2005/8/layout/hierarchy3"/>
    <dgm:cxn modelId="{E1C9ADA9-07C3-4F67-BEB9-34DDD8CCA0EE}" type="presParOf" srcId="{C100B728-549D-4965-B333-9C25743A075A}" destId="{0F54DA13-D29D-4B2E-AC34-BA7B76F087BC}" srcOrd="8" destOrd="0" presId="urn:microsoft.com/office/officeart/2005/8/layout/hierarchy3"/>
    <dgm:cxn modelId="{F24A0A13-E56C-44B2-805B-D1D932645DE4}" type="presParOf" srcId="{C100B728-549D-4965-B333-9C25743A075A}" destId="{EE2F0775-3BC7-42AF-8C94-751E8E6B5948}" srcOrd="9" destOrd="0" presId="urn:microsoft.com/office/officeart/2005/8/layout/hierarchy3"/>
    <dgm:cxn modelId="{A0160B95-4CE2-4A51-86E4-028ADC630003}" type="presParOf" srcId="{C100B728-549D-4965-B333-9C25743A075A}" destId="{AF1E4AC6-BDB7-411A-9A75-8B0A67D3AE66}" srcOrd="10" destOrd="0" presId="urn:microsoft.com/office/officeart/2005/8/layout/hierarchy3"/>
    <dgm:cxn modelId="{0E0710B7-EA38-4F76-A7BA-CCABC3A6E321}" type="presParOf" srcId="{C100B728-549D-4965-B333-9C25743A075A}" destId="{D6215AF5-7EF5-4A3E-852E-D7F572D5A550}" srcOrd="11" destOrd="0" presId="urn:microsoft.com/office/officeart/2005/8/layout/hierarchy3"/>
    <dgm:cxn modelId="{7DE1BFCC-B3B6-43C1-B345-B9282378147A}" type="presParOf" srcId="{C100B728-549D-4965-B333-9C25743A075A}" destId="{54903EA2-514C-481C-B77E-6EE1E1F82A01}" srcOrd="12" destOrd="0" presId="urn:microsoft.com/office/officeart/2005/8/layout/hierarchy3"/>
    <dgm:cxn modelId="{9D4A31C9-F999-42F9-94AA-273040F0E587}" type="presParOf" srcId="{C100B728-549D-4965-B333-9C25743A075A}" destId="{C8F06C1C-14EB-4506-8BCF-EA31750E2251}" srcOrd="13" destOrd="0" presId="urn:microsoft.com/office/officeart/2005/8/layout/hierarchy3"/>
    <dgm:cxn modelId="{8052ECBE-D0B6-4830-AB89-D1BC9FE2CE55}" type="presParOf" srcId="{C100B728-549D-4965-B333-9C25743A075A}" destId="{BC30858D-93C8-4F94-B25D-1B20B7F4DB68}" srcOrd="14" destOrd="0" presId="urn:microsoft.com/office/officeart/2005/8/layout/hierarchy3"/>
    <dgm:cxn modelId="{5B950869-DEBE-4F1D-BEF8-1E9B169585DD}" type="presParOf" srcId="{C100B728-549D-4965-B333-9C25743A075A}" destId="{A80A02D6-01E8-4387-BE04-83862B014CA5}" srcOrd="15" destOrd="0" presId="urn:microsoft.com/office/officeart/2005/8/layout/hierarchy3"/>
    <dgm:cxn modelId="{1B437C64-DEB2-4C0E-98AC-D852E2A381E1}" type="presParOf" srcId="{C100B728-549D-4965-B333-9C25743A075A}" destId="{83E8143B-A154-4601-91FA-6858962E69E6}" srcOrd="16" destOrd="0" presId="urn:microsoft.com/office/officeart/2005/8/layout/hierarchy3"/>
    <dgm:cxn modelId="{89AAE71A-CD5A-458A-B715-467F2E40EA3F}" type="presParOf" srcId="{C100B728-549D-4965-B333-9C25743A075A}" destId="{D8CECAD0-8E25-47D0-B886-9188BCC9B84C}" srcOrd="17" destOrd="0" presId="urn:microsoft.com/office/officeart/2005/8/layout/hierarchy3"/>
    <dgm:cxn modelId="{00A813AC-7066-434E-B516-AC172062E5F1}" type="presParOf" srcId="{FB5CECAC-F592-4EF9-9EC0-3816895921F6}" destId="{FD3CE594-EC54-46BE-9F5F-C3C7CC5DEDA6}" srcOrd="8" destOrd="0" presId="urn:microsoft.com/office/officeart/2005/8/layout/hierarchy3"/>
    <dgm:cxn modelId="{7DFA93F7-0F97-41FA-AAFA-BE5F32A84680}" type="presParOf" srcId="{FD3CE594-EC54-46BE-9F5F-C3C7CC5DEDA6}" destId="{29DBF783-4528-484D-809D-0C696328C143}" srcOrd="0" destOrd="0" presId="urn:microsoft.com/office/officeart/2005/8/layout/hierarchy3"/>
    <dgm:cxn modelId="{C5FF9842-0BF0-41A0-A247-98E2782A73E1}" type="presParOf" srcId="{29DBF783-4528-484D-809D-0C696328C143}" destId="{270B280D-6EB8-48FE-B5A2-DD5B4EDF038B}" srcOrd="0" destOrd="0" presId="urn:microsoft.com/office/officeart/2005/8/layout/hierarchy3"/>
    <dgm:cxn modelId="{C7D9D357-1B1D-4CF8-8524-35D6FB21EC68}" type="presParOf" srcId="{29DBF783-4528-484D-809D-0C696328C143}" destId="{F720A983-BC56-44E4-AF5E-44A9C01E9E37}" srcOrd="1" destOrd="0" presId="urn:microsoft.com/office/officeart/2005/8/layout/hierarchy3"/>
    <dgm:cxn modelId="{92CF4D0B-627D-4638-BC9F-D992DBF0A75E}" type="presParOf" srcId="{FD3CE594-EC54-46BE-9F5F-C3C7CC5DEDA6}" destId="{7E57371D-4BD6-4F94-BA59-9901C760BF18}" srcOrd="1" destOrd="0" presId="urn:microsoft.com/office/officeart/2005/8/layout/hierarchy3"/>
    <dgm:cxn modelId="{45A0DA0E-918F-48E2-A9B0-C405EA518341}" type="presParOf" srcId="{7E57371D-4BD6-4F94-BA59-9901C760BF18}" destId="{1BE45920-5317-44CD-BA9D-66FCA3285ACC}" srcOrd="0" destOrd="0" presId="urn:microsoft.com/office/officeart/2005/8/layout/hierarchy3"/>
    <dgm:cxn modelId="{CA6D3031-5AEC-4F15-A398-67DF19CD8672}" type="presParOf" srcId="{7E57371D-4BD6-4F94-BA59-9901C760BF18}" destId="{A89A5AC8-8959-41E5-9FCE-485A6BC8977C}" srcOrd="1" destOrd="0" presId="urn:microsoft.com/office/officeart/2005/8/layout/hierarchy3"/>
    <dgm:cxn modelId="{E6178101-5FED-4491-A095-D544FD229B49}" type="presParOf" srcId="{7E57371D-4BD6-4F94-BA59-9901C760BF18}" destId="{500C4A3C-B1B9-49ED-B627-20684CAF1B1A}" srcOrd="2" destOrd="0" presId="urn:microsoft.com/office/officeart/2005/8/layout/hierarchy3"/>
    <dgm:cxn modelId="{BA6E79DC-20F7-4D98-A445-6EF432D27366}" type="presParOf" srcId="{7E57371D-4BD6-4F94-BA59-9901C760BF18}" destId="{A6A9A63E-9FD5-4EB2-9474-7A626171A63B}" srcOrd="3" destOrd="0" presId="urn:microsoft.com/office/officeart/2005/8/layout/hierarchy3"/>
    <dgm:cxn modelId="{7A6179EF-2031-4BA0-889B-D2989F9A6EE0}" type="presParOf" srcId="{7E57371D-4BD6-4F94-BA59-9901C760BF18}" destId="{90378BE1-AB48-A945-969A-736A44B9B881}" srcOrd="4" destOrd="0" presId="urn:microsoft.com/office/officeart/2005/8/layout/hierarchy3"/>
    <dgm:cxn modelId="{7FC80CE7-5AEA-4B36-B5F1-30711BBBF566}" type="presParOf" srcId="{7E57371D-4BD6-4F94-BA59-9901C760BF18}" destId="{E440E235-FAF0-5145-BC8F-664286BB4143}" srcOrd="5" destOrd="0" presId="urn:microsoft.com/office/officeart/2005/8/layout/hierarchy3"/>
    <dgm:cxn modelId="{AD086193-90CC-4BD6-AABE-1A61941A2494}" type="presParOf" srcId="{7E57371D-4BD6-4F94-BA59-9901C760BF18}" destId="{22B02343-3D0B-416D-AB75-C3A59F23310E}" srcOrd="6" destOrd="0" presId="urn:microsoft.com/office/officeart/2005/8/layout/hierarchy3"/>
    <dgm:cxn modelId="{05BA3304-5B89-4C14-ABAA-CFF7A332A6EF}" type="presParOf" srcId="{7E57371D-4BD6-4F94-BA59-9901C760BF18}" destId="{727BE799-8228-49FA-9CC5-8A63FE7EDDD5}" srcOrd="7" destOrd="0" presId="urn:microsoft.com/office/officeart/2005/8/layout/hierarchy3"/>
    <dgm:cxn modelId="{F3C5F3C9-859C-4C0D-806F-9550938B56EF}" type="presParOf" srcId="{FB5CECAC-F592-4EF9-9EC0-3816895921F6}" destId="{F5BA20F7-DC6E-42EA-BA9E-6EDE58320534}" srcOrd="9" destOrd="0" presId="urn:microsoft.com/office/officeart/2005/8/layout/hierarchy3"/>
    <dgm:cxn modelId="{3219D4B4-C8FB-45A4-84CC-73BEF001AD28}" type="presParOf" srcId="{F5BA20F7-DC6E-42EA-BA9E-6EDE58320534}" destId="{2881620F-60DB-4A6C-93DD-A96F5AB8A901}" srcOrd="0" destOrd="0" presId="urn:microsoft.com/office/officeart/2005/8/layout/hierarchy3"/>
    <dgm:cxn modelId="{E222DFB2-37D5-4824-8ECA-7928CE17B436}" type="presParOf" srcId="{2881620F-60DB-4A6C-93DD-A96F5AB8A901}" destId="{752CB097-D75D-4E83-B0FF-B25D2BEEEDED}" srcOrd="0" destOrd="0" presId="urn:microsoft.com/office/officeart/2005/8/layout/hierarchy3"/>
    <dgm:cxn modelId="{749F99B6-F897-4373-ABA9-C37F30B8DEF6}" type="presParOf" srcId="{2881620F-60DB-4A6C-93DD-A96F5AB8A901}" destId="{44DFBC6A-96BF-4934-B6D1-1849B9C14C65}" srcOrd="1" destOrd="0" presId="urn:microsoft.com/office/officeart/2005/8/layout/hierarchy3"/>
    <dgm:cxn modelId="{A1DDF9F5-79C4-4EBB-BA44-EDA241E51F3E}" type="presParOf" srcId="{F5BA20F7-DC6E-42EA-BA9E-6EDE58320534}" destId="{A323E3F0-AC4C-4A9A-B811-C99519F9E79C}" srcOrd="1" destOrd="0" presId="urn:microsoft.com/office/officeart/2005/8/layout/hierarchy3"/>
    <dgm:cxn modelId="{8158D8EC-1AAF-4A53-AC61-17D7C9B6C5E0}" type="presParOf" srcId="{A323E3F0-AC4C-4A9A-B811-C99519F9E79C}" destId="{FFBBAA97-5FB0-4FBF-A1C9-43B155763F91}" srcOrd="0" destOrd="0" presId="urn:microsoft.com/office/officeart/2005/8/layout/hierarchy3"/>
    <dgm:cxn modelId="{9622619A-1B45-4A9F-A43B-C5EC478A658E}" type="presParOf" srcId="{A323E3F0-AC4C-4A9A-B811-C99519F9E79C}" destId="{201F5A66-BA5B-4EEF-9704-AC14E42354CF}" srcOrd="1" destOrd="0" presId="urn:microsoft.com/office/officeart/2005/8/layout/hierarchy3"/>
    <dgm:cxn modelId="{E77B6093-0EB1-40BD-B5F5-C06E61D8B768}" type="presParOf" srcId="{A323E3F0-AC4C-4A9A-B811-C99519F9E79C}" destId="{671524B5-1A14-4226-B985-B4DC02F1FC2E}" srcOrd="2" destOrd="0" presId="urn:microsoft.com/office/officeart/2005/8/layout/hierarchy3"/>
    <dgm:cxn modelId="{57121A8C-4D4D-4362-AEF6-9E93B039161E}" type="presParOf" srcId="{A323E3F0-AC4C-4A9A-B811-C99519F9E79C}" destId="{BCD7B34B-2577-414A-99C2-D925AD77975D}" srcOrd="3" destOrd="0" presId="urn:microsoft.com/office/officeart/2005/8/layout/hierarchy3"/>
    <dgm:cxn modelId="{1EBEEA7B-8533-4B7B-AE37-A58DC4535FA3}" type="presParOf" srcId="{A323E3F0-AC4C-4A9A-B811-C99519F9E79C}" destId="{2D14B6C3-27AA-4D87-9540-8A11C9A8DECC}" srcOrd="4" destOrd="0" presId="urn:microsoft.com/office/officeart/2005/8/layout/hierarchy3"/>
    <dgm:cxn modelId="{F962E0B6-0EE2-4B9F-94E8-A642D71C7AF1}" type="presParOf" srcId="{A323E3F0-AC4C-4A9A-B811-C99519F9E79C}" destId="{7A448036-7A84-4889-BBF0-982B5C41BB20}" srcOrd="5" destOrd="0" presId="urn:microsoft.com/office/officeart/2005/8/layout/hierarchy3"/>
    <dgm:cxn modelId="{0BCA23DE-7CFB-4B2B-88BA-736B2DD90941}" type="presParOf" srcId="{A323E3F0-AC4C-4A9A-B811-C99519F9E79C}" destId="{25240B53-ABE6-4921-87B3-9BF21774DB51}" srcOrd="6" destOrd="0" presId="urn:microsoft.com/office/officeart/2005/8/layout/hierarchy3"/>
    <dgm:cxn modelId="{28A83D70-092B-45F5-B167-D4393944F514}" type="presParOf" srcId="{A323E3F0-AC4C-4A9A-B811-C99519F9E79C}" destId="{F297D3A7-0F1A-4A33-BF1E-FEC6D96F605D}" srcOrd="7" destOrd="0" presId="urn:microsoft.com/office/officeart/2005/8/layout/hierarchy3"/>
    <dgm:cxn modelId="{DF90274D-D3F3-49E9-958F-3CF5EEDB1156}" type="presParOf" srcId="{A323E3F0-AC4C-4A9A-B811-C99519F9E79C}" destId="{0770582F-4A06-4D3C-A958-E63B41E35C3B}" srcOrd="8" destOrd="0" presId="urn:microsoft.com/office/officeart/2005/8/layout/hierarchy3"/>
    <dgm:cxn modelId="{B212E144-3D80-4495-A338-F8A21C6C7411}" type="presParOf" srcId="{A323E3F0-AC4C-4A9A-B811-C99519F9E79C}" destId="{C87BD6DD-EE6C-489B-9CFF-8088DD3D99A4}" srcOrd="9" destOrd="0" presId="urn:microsoft.com/office/officeart/2005/8/layout/hierarchy3"/>
    <dgm:cxn modelId="{691B16C0-D7E7-405E-A3EF-4CC892609595}" type="presParOf" srcId="{A323E3F0-AC4C-4A9A-B811-C99519F9E79C}" destId="{2D3C9EF0-B482-43A9-B032-F8ABB6BABC95}" srcOrd="10" destOrd="0" presId="urn:microsoft.com/office/officeart/2005/8/layout/hierarchy3"/>
    <dgm:cxn modelId="{D815A14D-CFE3-4B09-ADA1-AC10A09E0E4A}" type="presParOf" srcId="{A323E3F0-AC4C-4A9A-B811-C99519F9E79C}" destId="{7CDBBCF8-9242-4ACE-A53E-8AF415A48CA5}" srcOrd="11" destOrd="0" presId="urn:microsoft.com/office/officeart/2005/8/layout/hierarchy3"/>
    <dgm:cxn modelId="{FD769E91-3F60-41A4-A1C6-D51DE491F219}" type="presParOf" srcId="{FB5CECAC-F592-4EF9-9EC0-3816895921F6}" destId="{DFEA3594-DFDC-4006-B1B9-2708ECF4F422}" srcOrd="10" destOrd="0" presId="urn:microsoft.com/office/officeart/2005/8/layout/hierarchy3"/>
    <dgm:cxn modelId="{554FE81E-B812-4DBA-A1F5-AD79158DD0AC}" type="presParOf" srcId="{DFEA3594-DFDC-4006-B1B9-2708ECF4F422}" destId="{41EA46FE-6BDE-43B9-9413-0551F835AAC2}" srcOrd="0" destOrd="0" presId="urn:microsoft.com/office/officeart/2005/8/layout/hierarchy3"/>
    <dgm:cxn modelId="{D13DE47E-83F1-4482-A03D-A1F4ED878754}" type="presParOf" srcId="{41EA46FE-6BDE-43B9-9413-0551F835AAC2}" destId="{FAE650BF-70BF-44F7-8B45-E54BA3CB599A}" srcOrd="0" destOrd="0" presId="urn:microsoft.com/office/officeart/2005/8/layout/hierarchy3"/>
    <dgm:cxn modelId="{4A4DBE23-A4E6-4972-A778-5649FD5DBFAE}" type="presParOf" srcId="{41EA46FE-6BDE-43B9-9413-0551F835AAC2}" destId="{6E04BA8F-193A-4751-8235-2F1FD07A6A75}" srcOrd="1" destOrd="0" presId="urn:microsoft.com/office/officeart/2005/8/layout/hierarchy3"/>
    <dgm:cxn modelId="{52DACB6C-890B-4403-9B54-540A628D9A72}" type="presParOf" srcId="{DFEA3594-DFDC-4006-B1B9-2708ECF4F422}" destId="{3AFE6A39-5C86-479D-BABE-0479D92345BB}" srcOrd="1" destOrd="0" presId="urn:microsoft.com/office/officeart/2005/8/layout/hierarchy3"/>
    <dgm:cxn modelId="{5BD3A35D-318E-41E4-82B6-AAAEE31F3187}" type="presParOf" srcId="{3AFE6A39-5C86-479D-BABE-0479D92345BB}" destId="{66B3C20E-F001-4345-B891-692248886E7B}" srcOrd="0" destOrd="0" presId="urn:microsoft.com/office/officeart/2005/8/layout/hierarchy3"/>
    <dgm:cxn modelId="{A6B7FDEC-4177-4895-B3D7-F1C6B3AC1412}" type="presParOf" srcId="{3AFE6A39-5C86-479D-BABE-0479D92345BB}" destId="{06B5EB08-F1A1-46FB-9780-4641E3F44AA5}" srcOrd="1" destOrd="0" presId="urn:microsoft.com/office/officeart/2005/8/layout/hierarchy3"/>
    <dgm:cxn modelId="{73FC505F-A0DB-4885-B41D-CD72EA8990C7}" type="presParOf" srcId="{3AFE6A39-5C86-479D-BABE-0479D92345BB}" destId="{B3E6DA36-07D9-40AA-8DCD-0B5BB30A0FF2}" srcOrd="2" destOrd="0" presId="urn:microsoft.com/office/officeart/2005/8/layout/hierarchy3"/>
    <dgm:cxn modelId="{1A05F57E-26B4-4383-93B6-B3EE986ED675}" type="presParOf" srcId="{3AFE6A39-5C86-479D-BABE-0479D92345BB}" destId="{7F77FA49-49C8-4CF7-9D84-1FA6B5B2D26C}" srcOrd="3" destOrd="0" presId="urn:microsoft.com/office/officeart/2005/8/layout/hierarchy3"/>
    <dgm:cxn modelId="{2C68B47F-FC24-422E-B6C0-5D58999A4086}" type="presParOf" srcId="{3AFE6A39-5C86-479D-BABE-0479D92345BB}" destId="{26240FEC-1EBC-4563-935E-7527F2043085}" srcOrd="4" destOrd="0" presId="urn:microsoft.com/office/officeart/2005/8/layout/hierarchy3"/>
    <dgm:cxn modelId="{73140FAB-6D2B-4C0B-B90F-DF001C8D662E}" type="presParOf" srcId="{3AFE6A39-5C86-479D-BABE-0479D92345BB}" destId="{F2D5A5D4-C3E1-4773-9D7B-620CE449F4BB}" srcOrd="5" destOrd="0" presId="urn:microsoft.com/office/officeart/2005/8/layout/hierarchy3"/>
    <dgm:cxn modelId="{01213AD6-FD1F-43A0-A316-B8E08B2180FE}" type="presParOf" srcId="{3AFE6A39-5C86-479D-BABE-0479D92345BB}" destId="{F47C86B4-9619-4DF6-A3D2-21F1DAA65C38}" srcOrd="6" destOrd="0" presId="urn:microsoft.com/office/officeart/2005/8/layout/hierarchy3"/>
    <dgm:cxn modelId="{F1EB8B2F-6E54-48EE-AD2D-D4C8817C30E2}" type="presParOf" srcId="{3AFE6A39-5C86-479D-BABE-0479D92345BB}" destId="{AC69988B-8F72-456D-9F76-4080846680F9}" srcOrd="7" destOrd="0" presId="urn:microsoft.com/office/officeart/2005/8/layout/hierarchy3"/>
    <dgm:cxn modelId="{1DAF4CBB-0E6E-41F0-8F3D-701ECBE8CF03}" type="presParOf" srcId="{3AFE6A39-5C86-479D-BABE-0479D92345BB}" destId="{A4940586-15EC-433C-A65B-F74ACB795285}" srcOrd="8" destOrd="0" presId="urn:microsoft.com/office/officeart/2005/8/layout/hierarchy3"/>
    <dgm:cxn modelId="{A0492EA6-BB10-4F72-A4E2-7D1E30C21D39}" type="presParOf" srcId="{3AFE6A39-5C86-479D-BABE-0479D92345BB}" destId="{47E86BDE-F909-4BE8-B285-09A36A90319C}" srcOrd="9" destOrd="0" presId="urn:microsoft.com/office/officeart/2005/8/layout/hierarchy3"/>
    <dgm:cxn modelId="{907874A5-AB47-4FBA-8931-ACF65F9A09ED}" type="presParOf" srcId="{3AFE6A39-5C86-479D-BABE-0479D92345BB}" destId="{31FEC6EC-D8C8-4BB6-9029-6B8C7AA222B6}" srcOrd="10" destOrd="0" presId="urn:microsoft.com/office/officeart/2005/8/layout/hierarchy3"/>
    <dgm:cxn modelId="{2CAAB02B-7D4F-42C6-B6AA-1B6600DB5234}" type="presParOf" srcId="{3AFE6A39-5C86-479D-BABE-0479D92345BB}" destId="{2B835777-2A77-48A7-8645-82CEDD8169CC}" srcOrd="11" destOrd="0" presId="urn:microsoft.com/office/officeart/2005/8/layout/hierarchy3"/>
    <dgm:cxn modelId="{5E88C545-0A3E-403E-84E1-4D2EE6C3A419}" type="presParOf" srcId="{3AFE6A39-5C86-479D-BABE-0479D92345BB}" destId="{1BA4EFBB-FDC7-474B-BE05-2E81B9550F80}" srcOrd="12" destOrd="0" presId="urn:microsoft.com/office/officeart/2005/8/layout/hierarchy3"/>
    <dgm:cxn modelId="{6C67FA39-6D52-40CA-9D82-827F87889412}" type="presParOf" srcId="{3AFE6A39-5C86-479D-BABE-0479D92345BB}" destId="{C006F1D8-53B9-4C79-BB3D-9D8881EBBC7B}" srcOrd="13" destOrd="0" presId="urn:microsoft.com/office/officeart/2005/8/layout/hierarchy3"/>
    <dgm:cxn modelId="{FBE856E2-B9E6-4AF8-8845-A8BC17C0D6A8}" type="presParOf" srcId="{3AFE6A39-5C86-479D-BABE-0479D92345BB}" destId="{C678CBC6-8A84-42DB-8283-929690E413B0}" srcOrd="14" destOrd="0" presId="urn:microsoft.com/office/officeart/2005/8/layout/hierarchy3"/>
    <dgm:cxn modelId="{F8F415B8-1F39-4D3E-A6D3-EBCCEF663DF9}" type="presParOf" srcId="{3AFE6A39-5C86-479D-BABE-0479D92345BB}" destId="{3EFB5B10-7F7C-4E85-BA02-6937929CFEA1}" srcOrd="15" destOrd="0" presId="urn:microsoft.com/office/officeart/2005/8/layout/hierarchy3"/>
    <dgm:cxn modelId="{A2C05637-5C6B-482F-AE7A-FC099EC153FF}" type="presParOf" srcId="{FB5CECAC-F592-4EF9-9EC0-3816895921F6}" destId="{7EE80D1B-1953-478A-8F1C-71135A2FE71E}" srcOrd="11" destOrd="0" presId="urn:microsoft.com/office/officeart/2005/8/layout/hierarchy3"/>
    <dgm:cxn modelId="{CDC1916D-1C84-438B-B9C7-ADB187DA94D2}" type="presParOf" srcId="{7EE80D1B-1953-478A-8F1C-71135A2FE71E}" destId="{44985586-C0FD-4110-A953-BF2EA43E3928}" srcOrd="0" destOrd="0" presId="urn:microsoft.com/office/officeart/2005/8/layout/hierarchy3"/>
    <dgm:cxn modelId="{EC01356B-8E6E-4938-82AE-DB3DC06D0C99}" type="presParOf" srcId="{44985586-C0FD-4110-A953-BF2EA43E3928}" destId="{23AD07B1-FD7D-4EAE-A13A-73C6DBD9E7C2}" srcOrd="0" destOrd="0" presId="urn:microsoft.com/office/officeart/2005/8/layout/hierarchy3"/>
    <dgm:cxn modelId="{99A1BB0A-B141-450B-9C89-19BADD326034}" type="presParOf" srcId="{44985586-C0FD-4110-A953-BF2EA43E3928}" destId="{DA45EAED-9CE9-43DB-9B78-23A09701247E}" srcOrd="1" destOrd="0" presId="urn:microsoft.com/office/officeart/2005/8/layout/hierarchy3"/>
    <dgm:cxn modelId="{18F0606D-C388-4DAA-A05A-74EDA1B2B69C}" type="presParOf" srcId="{7EE80D1B-1953-478A-8F1C-71135A2FE71E}" destId="{FA8FFAF2-285B-4F21-A87E-6DB0DF2FA243}" srcOrd="1" destOrd="0" presId="urn:microsoft.com/office/officeart/2005/8/layout/hierarchy3"/>
    <dgm:cxn modelId="{7A6A1796-3FF8-4D7F-AF06-37739FDB92AA}" type="presParOf" srcId="{FA8FFAF2-285B-4F21-A87E-6DB0DF2FA243}" destId="{F8C760DF-3086-4F52-9BBF-05A88E365331}" srcOrd="0" destOrd="0" presId="urn:microsoft.com/office/officeart/2005/8/layout/hierarchy3"/>
    <dgm:cxn modelId="{EDE08EF9-35F0-45A9-887D-03ECFC53B363}" type="presParOf" srcId="{FA8FFAF2-285B-4F21-A87E-6DB0DF2FA243}" destId="{63E5433A-8461-4174-88BC-3D5E34B073C8}" srcOrd="1" destOrd="0" presId="urn:microsoft.com/office/officeart/2005/8/layout/hierarchy3"/>
    <dgm:cxn modelId="{53459807-2972-4AE6-BB61-CCF2F2A2E0ED}" type="presParOf" srcId="{FA8FFAF2-285B-4F21-A87E-6DB0DF2FA243}" destId="{49E3CA67-A205-42E9-9990-44EF699A4304}" srcOrd="2" destOrd="0" presId="urn:microsoft.com/office/officeart/2005/8/layout/hierarchy3"/>
    <dgm:cxn modelId="{B8E19675-8E3A-4483-9FF4-8B56BA6534F3}" type="presParOf" srcId="{FA8FFAF2-285B-4F21-A87E-6DB0DF2FA243}" destId="{46AFDF0E-A74A-411D-84FE-C38D9A979258}" srcOrd="3" destOrd="0" presId="urn:microsoft.com/office/officeart/2005/8/layout/hierarchy3"/>
    <dgm:cxn modelId="{25D2D7C7-70AE-48BB-B605-627C407B38CF}" type="presParOf" srcId="{FA8FFAF2-285B-4F21-A87E-6DB0DF2FA243}" destId="{E2E94F2F-A8A2-4D46-B052-3AB788BD233C}" srcOrd="4" destOrd="0" presId="urn:microsoft.com/office/officeart/2005/8/layout/hierarchy3"/>
    <dgm:cxn modelId="{E29C9F90-46A7-4EF9-A868-40A1C32E33AE}" type="presParOf" srcId="{FA8FFAF2-285B-4F21-A87E-6DB0DF2FA243}" destId="{70CEA3FE-6D6F-41DA-B418-263C9DEAE5D2}" srcOrd="5" destOrd="0" presId="urn:microsoft.com/office/officeart/2005/8/layout/hierarchy3"/>
    <dgm:cxn modelId="{19C4AD16-15F6-4B87-B65B-252F9D26AA30}" type="presParOf" srcId="{FA8FFAF2-285B-4F21-A87E-6DB0DF2FA243}" destId="{A56B7FA6-028F-4E7D-B330-596ADA182C0F}" srcOrd="6" destOrd="0" presId="urn:microsoft.com/office/officeart/2005/8/layout/hierarchy3"/>
    <dgm:cxn modelId="{792D2CCF-E7ED-400E-8AB2-B248DCBC1DDD}" type="presParOf" srcId="{FA8FFAF2-285B-4F21-A87E-6DB0DF2FA243}" destId="{703F6B3B-678B-4B2C-8650-D6DEC19F2B92}" srcOrd="7" destOrd="0" presId="urn:microsoft.com/office/officeart/2005/8/layout/hierarchy3"/>
    <dgm:cxn modelId="{A319701D-2559-42B1-B70F-EEAD9E7AD9EE}" type="presParOf" srcId="{FA8FFAF2-285B-4F21-A87E-6DB0DF2FA243}" destId="{EB9D84AE-0AD7-49DE-A010-37876FECE848}" srcOrd="8" destOrd="0" presId="urn:microsoft.com/office/officeart/2005/8/layout/hierarchy3"/>
    <dgm:cxn modelId="{9AA1C511-B499-4018-88DF-2C5C867E41C4}" type="presParOf" srcId="{FA8FFAF2-285B-4F21-A87E-6DB0DF2FA243}" destId="{5BE9385E-3711-48C1-B4B4-E86E9612A856}" srcOrd="9" destOrd="0" presId="urn:microsoft.com/office/officeart/2005/8/layout/hierarchy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hierarchy3">
  <dgm:title val=""/>
  <dgm:desc val=""/>
  <dgm:catLst>
    <dgm:cat type="hierarchy" pri="7000"/>
    <dgm:cat type="list" pri="23000"/>
    <dgm:cat type="relationship" pri="15000"/>
    <dgm:cat type="convert" pri="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  <dgm:cxn modelId="7" srcId="0" destId="2" srcOrd="1" destOrd="0"/>
        <dgm:cxn modelId="8" srcId="2" destId="21" srcOrd="0" destOrd="0"/>
        <dgm:cxn modelId="9" srcId="2" destId="2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w" for="des" forName="rootComposite" refType="w"/>
      <dgm:constr type="h" for="des" forName="rootComposite" refType="w" fact="0.5"/>
      <dgm:constr type="w" for="des" forName="childText" refType="w" refFor="des" refForName="rootComposite" fact="0.8"/>
      <dgm:constr type="h" for="des" forName="childText" refType="h" refFor="des" refForName="rootComposite"/>
      <dgm:constr type="sibSp" refType="w" refFor="des" refForName="rootComposite" fact="0.25"/>
      <dgm:constr type="sibSp" for="des" forName="childShape" refType="h" refFor="des" refForName="childText" fact="0.25"/>
      <dgm:constr type="sp" for="des" forName="root" refType="h" refFor="des" refForName="childText" fact="0.25"/>
    </dgm:constrLst>
    <dgm:ruleLst/>
    <dgm:forEach name="Name3" axis="ch">
      <dgm:forEach name="Name4" axis="self" ptType="node" cnt="1">
        <dgm:layoutNode name="root">
          <dgm:choose name="Name5">
            <dgm:if name="Name6" func="var" arg="dir" op="equ" val="norm">
              <dgm:alg type="hierRoot">
                <dgm:param type="hierAlign" val="tL"/>
              </dgm:alg>
            </dgm:if>
            <dgm:else name="Name7">
              <dgm:alg type="hierRoot">
                <dgm:param type="hierAlign" val="tR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>
            <dgm:constr type="alignOff" val="0.2"/>
          </dgm:constrLst>
          <dgm:ruleLst/>
          <dgm:layoutNode name="rootComposite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8">
              <dgm:if name="Name9" func="var" arg="dir" op="equ" val="norm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l" for="ch" forName="rootConnector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if>
              <dgm:else name="Name10">
                <dgm:constrLst>
                  <dgm:constr type="l" for="ch" forName="rootText"/>
                  <dgm:constr type="t" for="ch" forName="rootText"/>
                  <dgm:constr type="w" for="ch" forName="rootText" refType="w"/>
                  <dgm:constr type="h" for="ch" forName="rootText" refType="h"/>
                  <dgm:constr type="r" for="ch" forName="rootConnector" refType="w"/>
                  <dgm:constr type="t" for="ch" forName="rootConnector"/>
                  <dgm:constr type="w" for="ch" forName="rootConnector" refType="w" refFor="ch" refForName="rootText" fact="0.2"/>
                  <dgm:constr type="h" for="ch" forName="rootConnector" refType="h" refFor="ch" refForName="rootText"/>
                </dgm:constrLst>
              </dgm:else>
            </dgm:choose>
            <dgm:ruleLst/>
            <dgm:layoutNode name="rootText" styleLbl="node1"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rootConnector" moveWith="rootText">
              <dgm:alg type="sp"/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self" ptType="node" cnt="1"/>
              <dgm:constrLst/>
              <dgm:ruleLst/>
            </dgm:layoutNode>
          </dgm:layoutNode>
          <dgm:layoutNode name="childShape">
            <dgm:alg type="hierChild">
              <dgm:param type="chAlign" val="l"/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11" axis="ch">
              <dgm:forEach name="Name12" axis="self" ptType="parTrans" cnt="1">
                <dgm:layoutNode name="Name13">
                  <dgm:choose name="Name14">
                    <dgm:if name="Name15" func="var" arg="dir" op="equ" val="norm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L"/>
                      </dgm:alg>
                    </dgm:if>
                    <dgm:else name="Name16">
                      <dgm:alg type="conn">
                        <dgm:param type="dim" val="1D"/>
                        <dgm:param type="endSty" val="noArr"/>
                        <dgm:param type="connRout" val="bend"/>
                        <dgm:param type="srcNode" val="rootConnector"/>
                        <dgm:param type="begPts" val="bCtr"/>
                        <dgm:param type="endPts" val="mid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7" axis="self" ptType="node">
                <dgm:layoutNode name="childText" styleLbl="bgAcc1">
                  <dgm:varLst>
                    <dgm:bulletEnabled val="1"/>
                  </dgm:varLst>
                  <dgm:alg type="tx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self desOrSelf" ptType="node node" st="1 1" cnt="1 0"/>
                  <dgm:constrLst>
                    <dgm:constr type="tMarg" refType="primFontSz" fact="0.1"/>
                    <dgm:constr type="bMarg" refType="primFontSz" fact="0.1"/>
                    <dgm:constr type="lMarg" refType="primFontSz" fact="0.15"/>
                    <dgm:constr type="rMarg" refType="primFontSz" fact="0.15"/>
                  </dgm:constrLst>
                  <dgm:ruleLst>
                    <dgm:rule type="primFontSz" val="5" fact="NaN" max="NaN"/>
                  </dgm:ruleLst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</xdr:row>
      <xdr:rowOff>114301</xdr:rowOff>
    </xdr:from>
    <xdr:to>
      <xdr:col>21</xdr:col>
      <xdr:colOff>523875</xdr:colOff>
      <xdr:row>37</xdr:row>
      <xdr:rowOff>104776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171449</xdr:colOff>
      <xdr:row>5</xdr:row>
      <xdr:rowOff>28573</xdr:rowOff>
    </xdr:from>
    <xdr:to>
      <xdr:col>21</xdr:col>
      <xdr:colOff>400050</xdr:colOff>
      <xdr:row>35</xdr:row>
      <xdr:rowOff>200024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3</xdr:row>
      <xdr:rowOff>165100</xdr:rowOff>
    </xdr:from>
    <xdr:to>
      <xdr:col>14</xdr:col>
      <xdr:colOff>520700</xdr:colOff>
      <xdr:row>39</xdr:row>
      <xdr:rowOff>114300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8</xdr:row>
      <xdr:rowOff>171450</xdr:rowOff>
    </xdr:from>
    <xdr:to>
      <xdr:col>21</xdr:col>
      <xdr:colOff>295275</xdr:colOff>
      <xdr:row>35</xdr:row>
      <xdr:rowOff>131379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581025</xdr:colOff>
      <xdr:row>16</xdr:row>
      <xdr:rowOff>0</xdr:rowOff>
    </xdr:from>
    <xdr:to>
      <xdr:col>18</xdr:col>
      <xdr:colOff>371475</xdr:colOff>
      <xdr:row>30</xdr:row>
      <xdr:rowOff>171450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627822</xdr:colOff>
      <xdr:row>0</xdr:row>
      <xdr:rowOff>136249</xdr:rowOff>
    </xdr:from>
    <xdr:to>
      <xdr:col>26</xdr:col>
      <xdr:colOff>389697</xdr:colOff>
      <xdr:row>48</xdr:row>
      <xdr:rowOff>136249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tachi Data Systems" refreshedDate="41844.748084027779" createdVersion="5" refreshedVersion="5" minRefreshableVersion="3" recordCount="108">
  <cacheSource type="worksheet">
    <worksheetSource ref="B1:N49" sheet="PeopleData"/>
  </cacheSource>
  <cacheFields count="11">
    <cacheField name="Name" numFmtId="0">
      <sharedItems containsBlank="1" count="86">
        <s v="Almonte, Brendan"/>
        <s v="Anderson, Vic"/>
        <s v="Apte, Sameer"/>
        <s v="Baron, Tom"/>
        <s v="Bateman, Brandon"/>
        <s v="Bennett, Charlie"/>
        <s v="Bishop, Jon"/>
        <s v="Blacklock, David"/>
        <s v="Bramante, Rich"/>
        <s v="Bryant, Alan"/>
        <s v="Burnham, John"/>
        <s v="Chang, Albert"/>
        <s v="Charubini, David"/>
        <s v="Chen, Justin"/>
        <s v="Chestna, Wayne"/>
        <s v="Clark, Nate"/>
        <s v="Clifford, Ben"/>
        <s v="Conlon, Bryan"/>
        <s v="Cooper, Rob"/>
        <s v="Curry, Clay"/>
        <s v="da Cruz, Jonathan"/>
        <s v="Dames, Lisa"/>
        <s v="DeRoo, Nick"/>
        <s v="Diehl, Jordan"/>
        <s v="Doddappa, Nagaraja"/>
        <s v="Ebaid, Ahmed"/>
        <s v="Evelson, Nick"/>
        <s v="Everitt, Steve"/>
        <s v="Fodera, Frank"/>
        <s v="Gallerani, Steve"/>
        <s v="Gershaneck, Nate"/>
        <s v="Giddings, Robert"/>
        <s v="Grimaldi, Kevin"/>
        <s v="Haapaoja, Steve"/>
        <s v="Hartford, Joe"/>
        <s v="Harty, Meaghan"/>
        <s v="Isaacson, Steve"/>
        <s v="Isherwood, Ben"/>
        <s v="Jian, Sean"/>
        <s v="Kats, Yury"/>
        <s v="Klein, Alex"/>
        <s v="Kohli, Nishant"/>
        <s v="Kostadinov, Alex"/>
        <s v="Kulma, Marty"/>
        <s v="Larrousse, Mary"/>
        <s v="Lee, Jonathan"/>
        <s v="Leich, Alex"/>
        <s v="Liang, Candy"/>
        <s v="Lin, Wayzen"/>
        <s v="List, Andrew"/>
        <s v="Lopes, Kyle"/>
        <s v="Manjanatha, Sowmya"/>
        <s v="Mau, Manet"/>
        <s v="Maxwell, Tyler"/>
        <s v="McGuirk, Hannah"/>
        <s v="Meagher, Tom"/>
        <s v="Mittal, Rashmi"/>
        <s v="Pannese, Donald"/>
        <s v="Perkins, Ed"/>
        <s v="Persons, Mark"/>
        <s v="Pfahl, Matt"/>
        <s v="Pinkney, Dave"/>
        <s v="Prochniak, Stephen"/>
        <s v="Raman, Vijay"/>
        <s v="Ramsey, Diane"/>
        <s v="Rivas, Eddie"/>
        <s v="Roberts, William"/>
        <s v="Robinson, Sean"/>
        <s v="Shea, Jerry"/>
        <s v="Simons, Thorsten"/>
        <s v="Strand, Eric"/>
        <s v="Stuart, Logan"/>
        <s v="Taneja, Nitesh"/>
        <s v="Tatar, Ilya"/>
        <s v="TBH"/>
        <s v="Tirado, Beth"/>
        <s v="Todd, Andrew"/>
        <s v="Truong, Ngale"/>
        <s v="Van Thong, Adrien"/>
        <s v="Wilder, Hank"/>
        <s v="Wilson, Emily"/>
        <s v="Wilson, Eric"/>
        <s v="Wohler, Walter"/>
        <s v="Yaninas, Scott"/>
        <s v="Zolotusky, Vitaly"/>
        <m/>
      </sharedItems>
    </cacheField>
    <cacheField name="Product Team" numFmtId="0">
      <sharedItems containsBlank="1" count="8">
        <s v="HCP-AW"/>
        <s v="HCP (Rhino)"/>
        <s v="HCP"/>
        <s v="DevOps"/>
        <s v="Admin"/>
        <s v="Tech"/>
        <s v="HDDS"/>
        <m/>
      </sharedItems>
    </cacheField>
    <cacheField name="Level" numFmtId="0">
      <sharedItems containsBlank="1"/>
    </cacheField>
    <cacheField name="Employee Type" numFmtId="0">
      <sharedItems containsBlank="1"/>
    </cacheField>
    <cacheField name="Functional Team" numFmtId="0">
      <sharedItems containsBlank="1"/>
    </cacheField>
    <cacheField name="Tag" numFmtId="0">
      <sharedItems containsBlank="1"/>
    </cacheField>
    <cacheField name="Requisition" numFmtId="0">
      <sharedItems containsString="0" containsBlank="1" containsNumber="1" containsInteger="1" minValue="11940" maxValue="13240"/>
    </cacheField>
    <cacheField name="Notes" numFmtId="0">
      <sharedItems containsBlank="1"/>
    </cacheField>
    <cacheField name="Start Date" numFmtId="0">
      <sharedItems containsNonDate="0" containsDate="1" containsString="0" containsBlank="1" minDate="2014-02-24T00:00:00" maxDate="2014-07-22T00:00:00"/>
    </cacheField>
    <cacheField name="Source" numFmtId="0">
      <sharedItems containsBlank="1" count="6">
        <m/>
        <s v="HDS"/>
        <s v="NetPolarity"/>
        <s v="Insight Global"/>
        <s v="ClearPoint"/>
        <s v="Referral"/>
      </sharedItems>
    </cacheField>
    <cacheField name="Referrer" numFmtId="0">
      <sharedItems containsBlank="1" count="10">
        <m/>
        <s v="Eric Wilson"/>
        <s v="Sameer Apte"/>
        <s v="Kevin Grimaldi"/>
        <s v="Nick DeRoo"/>
        <s v="Nate Gershaneck"/>
        <s v="Mary LaRousse"/>
        <s v="John Burnham - not eligible"/>
        <s v="Dave Pinkney - not eligible"/>
        <s v="Wayne Chest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tachi Data Systems" refreshedDate="41845.469840509257" createdVersion="5" refreshedVersion="5" minRefreshableVersion="3" recordCount="108">
  <cacheSource type="worksheet">
    <worksheetSource ref="A1:N49" sheet="PeopleData"/>
  </cacheSource>
  <cacheFields count="14">
    <cacheField name="Updated" numFmtId="0">
      <sharedItems containsNonDate="0" containsDate="1" containsString="0" containsBlank="1" minDate="2014-07-25T10:33:49" maxDate="2014-07-25T11:15:06"/>
    </cacheField>
    <cacheField name="Name" numFmtId="0">
      <sharedItems containsBlank="1" count="86">
        <s v="Almonte, Brendan"/>
        <s v="Anderson, Vic"/>
        <s v="Apte, Sameer"/>
        <s v="Baron, Tom"/>
        <s v="Bateman, Brandon"/>
        <s v="Bennett, Charlie"/>
        <s v="Bishop, Jon"/>
        <s v="Blacklock, David"/>
        <s v="Bramante, Rich"/>
        <s v="Bryant, Alan"/>
        <s v="Burnham, John"/>
        <s v="Chang, Albert"/>
        <s v="Charubini, David"/>
        <s v="Chen, Justin"/>
        <s v="Chestna, Wayne"/>
        <s v="Clark, Nate"/>
        <s v="Clifford, Ben"/>
        <s v="Conlon, Bryan"/>
        <s v="Cooper, Rob"/>
        <s v="Curry, Clay"/>
        <s v="da Cruz, Jonathan"/>
        <s v="Dames, Lisa"/>
        <s v="DeRoo, Nick"/>
        <s v="Diehl, Jordan"/>
        <s v="Doddappa, Nagaraja"/>
        <s v="Ebaid, Ahmed"/>
        <s v="Evelson, Nick"/>
        <s v="Everitt, Steve"/>
        <s v="Fodera, Frank"/>
        <s v="Gallerani, Steve"/>
        <s v="Gershaneck, Nate"/>
        <s v="Giddings, Robert"/>
        <s v="Grimaldi, Kevin"/>
        <s v="Haapaoja, Steve"/>
        <s v="Hartford, Joe"/>
        <s v="Harty, Meaghan"/>
        <s v="Isaacson, Steve"/>
        <s v="Isherwood, Ben"/>
        <s v="Jian, Sean"/>
        <s v="Kats, Yury"/>
        <s v="Klein, Alex"/>
        <s v="Kohli, Nishant"/>
        <s v="Kostadinov, Alex"/>
        <s v="Kulma, Marty"/>
        <s v="Larrousse, Mary"/>
        <s v="Lee, Jonathan"/>
        <s v="Leich, Alex"/>
        <s v="Liang, Candy"/>
        <s v="Lin, Wayzen"/>
        <s v="List, Andrew"/>
        <s v="Lopes, Kyle"/>
        <s v="Manjanatha, Sowmya"/>
        <s v="Mau, Manet"/>
        <s v="Maxwell, Tyler"/>
        <s v="McGuirk, Hannah"/>
        <s v="Meagher, Tom"/>
        <s v="Mittal, Rashmi"/>
        <s v="Pannese, Donald"/>
        <s v="Perkins, Ed"/>
        <s v="Persons, Mark"/>
        <s v="Pfahl, Matt"/>
        <s v="Pinkney, Dave"/>
        <s v="Prochniak, Stephen"/>
        <s v="Raman, Vijay"/>
        <s v="Ramsey, Diane"/>
        <s v="Rivas, Eddie"/>
        <s v="Roberts, William"/>
        <s v="Robinson, Sean"/>
        <s v="Shea, Jerry"/>
        <s v="Simons, Thorsten"/>
        <s v="Strand, Eric"/>
        <s v="Stuart, Logan"/>
        <s v="Taneja, Nitesh"/>
        <s v="Tatar, Ilya"/>
        <s v="TBH"/>
        <s v="Tirado, Beth"/>
        <s v="Todd, Andrew"/>
        <s v="Truong, Ngale"/>
        <s v="Van Thong, Adrien"/>
        <s v="Wilder, Hank"/>
        <s v="Wilson, Emily"/>
        <s v="Wilson, Eric"/>
        <s v="Wohler, Walter"/>
        <s v="Yaninas, Scott"/>
        <s v="Zolotusky, Vitaly"/>
        <m/>
      </sharedItems>
    </cacheField>
    <cacheField name="Manager" numFmtId="0">
      <sharedItems containsBlank="1" count="11">
        <s v="Burnham, John"/>
        <s v="Rogers, Rich"/>
        <s v="Pannese, Donald"/>
        <s v="Anderson, Vic"/>
        <s v="Kohli, Nishant"/>
        <m/>
        <s v="Lin, Wayzen"/>
        <s v="Isherwood, Ben"/>
        <s v="Pinkney, Dave"/>
        <s v="Chestna, Wayne"/>
        <s v="Liang, Candy"/>
      </sharedItems>
    </cacheField>
    <cacheField name="Product Team" numFmtId="0">
      <sharedItems containsBlank="1"/>
    </cacheField>
    <cacheField name="Title" numFmtId="0">
      <sharedItems containsBlank="1" count="18">
        <s v="Software Engineer"/>
        <s v="Senior Director, Engineering"/>
        <s v="Specialist, SW Engineer"/>
        <s v="Specialist, SWQA Engineer"/>
        <s v="Senior, SW Engineer"/>
        <s v="Associate, SWQA Engineer"/>
        <s v="Master, SW Engineer"/>
        <s v="Senior Manager, Engineering"/>
        <s v="SWQA Engineer"/>
        <s v="Associate, SW Engineer"/>
        <s v="Senior, SWQA Engineer"/>
        <s v="S1"/>
        <s v="Director, Engineering"/>
        <s v="Manager, Engineering"/>
        <s v="P6"/>
        <s v="S2"/>
        <s v="Master, SWQA Engineer"/>
        <m/>
      </sharedItems>
    </cacheField>
    <cacheField name="Level" numFmtId="0">
      <sharedItems containsBlank="1"/>
    </cacheField>
    <cacheField name="Employee Type" numFmtId="0">
      <sharedItems containsBlank="1" count="3">
        <s v="FTE"/>
        <s v="Consultant"/>
        <m/>
      </sharedItems>
    </cacheField>
    <cacheField name="Functional Team" numFmtId="0">
      <sharedItems containsBlank="1"/>
    </cacheField>
    <cacheField name="Tag" numFmtId="0">
      <sharedItems containsBlank="1"/>
    </cacheField>
    <cacheField name="Requisition" numFmtId="0">
      <sharedItems containsString="0" containsBlank="1" containsNumber="1" containsInteger="1" minValue="11940" maxValue="13240"/>
    </cacheField>
    <cacheField name="Notes" numFmtId="0">
      <sharedItems containsBlank="1"/>
    </cacheField>
    <cacheField name="Start Date" numFmtId="0">
      <sharedItems containsNonDate="0" containsDate="1" containsString="0" containsBlank="1" minDate="2014-02-24T00:00:00" maxDate="2014-07-22T00:00:00"/>
    </cacheField>
    <cacheField name="Source" numFmtId="0">
      <sharedItems containsBlank="1"/>
    </cacheField>
    <cacheField name="Referr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ve Pinkney" refreshedDate="41850.397237500001" createdVersion="5" refreshedVersion="4" minRefreshableVersion="3" recordCount="108">
  <cacheSource type="worksheet">
    <worksheetSource ref="B1:N40" sheet="PeopleData"/>
  </cacheSource>
  <cacheFields count="13">
    <cacheField name="Name" numFmtId="0">
      <sharedItems count="110">
        <s v="Harty, Meaghan"/>
        <s v="Klein, Alex"/>
        <s v="McGuirk, Hannah"/>
        <s v="Robinson, Sean"/>
        <s v="TBH1"/>
        <s v="Van Thong, Adrien"/>
        <s v="TBH13"/>
        <s v="TBH2"/>
        <s v="TBH15"/>
        <s v="Charubini, David"/>
        <s v="Clifford, Ben"/>
        <s v="DeRoo, Nick"/>
        <s v="Doddappa, Nagaraja"/>
        <s v="Evelson, Nick"/>
        <s v="Fodera, Frank"/>
        <s v="Gallerani, Steve"/>
        <s v="Gershaneck, Nate"/>
        <s v="Haapaoja, Steve"/>
        <s v="Hartford, Joe"/>
        <s v="Jellis, Nathan"/>
        <s v="Kats, Yury"/>
        <s v="Kohli, Nishant"/>
        <s v="Liang, Candy"/>
        <s v="Manjanatha, Sowmya"/>
        <s v="Rivas, Eddie"/>
        <s v="Roberts, William"/>
        <s v="Shea, Jerry"/>
        <s v="Stuart, Logan"/>
        <s v="Taneja, Nitesh"/>
        <s v="TBH12"/>
        <s v="TBH23"/>
        <s v="TBH3"/>
        <s v="TBH4"/>
        <s v="TBH5"/>
        <s v="TBH6"/>
        <s v="TBH7"/>
        <s v="TBH8"/>
        <s v="Wilson, Emily"/>
        <s v="Wilson, Eric"/>
        <s v="Zolotusky, Vitaly"/>
        <s v="Baron, Tom"/>
        <s v="Bennett, Charlie"/>
        <s v="Blacklock, David"/>
        <s v="Chestna, Wayne"/>
        <s v="Clark, Nate"/>
        <s v="Curry, Clay"/>
        <s v="Dames, Lisa"/>
        <s v="Diehl, Jordan"/>
        <s v="Everitt, Steve"/>
        <s v="Giddings, Robert"/>
        <s v="Grimaldi, Kevin"/>
        <s v="List, Andrew"/>
        <s v="Lopes, Kyle"/>
        <s v="Maxwell, Tyler"/>
        <s v="Meagher, Tom"/>
        <s v="Pannese, Donald"/>
        <s v="Pinkney, Dave"/>
        <s v="Ramsey, Diane"/>
        <s v="Tatar, Ilya"/>
        <s v="TBH10"/>
        <s v="TBH11"/>
        <s v="TBH9"/>
        <s v="Almonte, Brendan"/>
        <s v="Anderson, Vic"/>
        <s v="Apte, Sameer"/>
        <s v="Bateman, Brandon"/>
        <s v="Bishop, Jon"/>
        <s v="Bramante, Rich"/>
        <s v="Bryant, Alan"/>
        <s v="Burnham, John"/>
        <s v="Chang, Albert"/>
        <s v="Chen, Justin"/>
        <s v="Conlon, Bryan"/>
        <s v="Cooper, Rob"/>
        <s v="da Cruz, Jonathan"/>
        <s v="Ebaid, Ahmed"/>
        <s v="Isaacson, Steve"/>
        <s v="Jian, Sean"/>
        <s v="Kostadinov, Alex"/>
        <s v="Kulma, Marty"/>
        <s v="Larrousse, Mary"/>
        <s v="Lee, Jonathan"/>
        <s v="Leich, Alex"/>
        <s v="Mittal, Rashmi"/>
        <s v="Perkins, Ed"/>
        <s v="Persons, Mark"/>
        <s v="Pfahl, Matt"/>
        <s v="Prochniak, Stephen"/>
        <s v="Raman, Vijay"/>
        <s v="Strand, Eric"/>
        <s v="TBH14"/>
        <s v="TBH24"/>
        <s v="Tirado, Beth"/>
        <s v="Todd, Andrew"/>
        <s v="Truong, Ngale"/>
        <s v="Wilder, Hank"/>
        <s v="Wohler, Walter"/>
        <s v="Yaninas, Scott"/>
        <s v="Isherwood, Ben"/>
        <s v="Mau, Manet"/>
        <s v="TBH16"/>
        <s v="TBH18"/>
        <s v="TBH19"/>
        <s v="TBH20"/>
        <s v="Lin, Wayzen"/>
        <s v="Simons, Thorsten"/>
        <s v="TBH21"/>
        <s v="TBH22"/>
        <s v="TBH17" u="1"/>
        <s v="TBH" u="1"/>
      </sharedItems>
    </cacheField>
    <cacheField name="Manager" numFmtId="0">
      <sharedItems containsBlank="1"/>
    </cacheField>
    <cacheField name="Product Team" numFmtId="0">
      <sharedItems count="10">
        <s v="Cross"/>
        <s v="Free"/>
        <s v="HCP"/>
        <s v="HCP (Rhino)"/>
        <s v="HCP-AW"/>
        <s v="HDDS"/>
        <s v="Tech"/>
        <s v="Free/HCP" u="1"/>
        <s v="DevOps" u="1"/>
        <s v="Admin" u="1"/>
      </sharedItems>
    </cacheField>
    <cacheField name="Title" numFmtId="0">
      <sharedItems count="18">
        <s v="Software Engineer"/>
        <s v="Associate, Admin"/>
        <s v="Admin"/>
        <s v="Senior, SW Engineer"/>
        <s v="Senior Manager, Engineering"/>
        <s v="Associate, SW Engineer"/>
        <s v="Specialist, SW Engineer"/>
        <s v="Senior, SWQA Engineer"/>
        <s v="Director, Engineering"/>
        <s v="Specialist, SWQA Engineer"/>
        <s v="Associate, SWQA Engineer"/>
        <s v="Master, SW Engineer"/>
        <s v="Strategist, Engineering"/>
        <s v="Senior Director, Engineering"/>
        <s v="Technical Writer"/>
        <s v="SWQA Engineer"/>
        <s v="Manager, Engineering"/>
        <s v="Master, SWQA Engineer"/>
      </sharedItems>
    </cacheField>
    <cacheField name="Level" numFmtId="0">
      <sharedItems count="12">
        <s v="P2"/>
        <s v="S1"/>
        <s v="S2"/>
        <s v="P3"/>
        <s v="M3"/>
        <s v="P1"/>
        <s v="P4"/>
        <s v="M4"/>
        <s v="P5"/>
        <s v="P6"/>
        <s v="M5"/>
        <s v="M2"/>
      </sharedItems>
    </cacheField>
    <cacheField name="Employee Type" numFmtId="0">
      <sharedItems count="2">
        <s v="FTE"/>
        <s v="Consultant"/>
      </sharedItems>
    </cacheField>
    <cacheField name="Functional Team" numFmtId="0">
      <sharedItems containsBlank="1" count="14">
        <s v="DevOps"/>
        <s v="Admin"/>
        <s v="Free"/>
        <s v="Dev"/>
        <s v="PO"/>
        <s v="Sustaining"/>
        <s v="Auto"/>
        <s v="Doc"/>
        <s v="QA"/>
        <s v="Lead"/>
        <s v="Characterization"/>
        <s v="UI"/>
        <s v="Tech"/>
        <m u="1"/>
      </sharedItems>
    </cacheField>
    <cacheField name="Tag" numFmtId="0">
      <sharedItems containsBlank="1"/>
    </cacheField>
    <cacheField name="Requisition" numFmtId="0">
      <sharedItems containsString="0" containsBlank="1" containsNumber="1" containsInteger="1" minValue="11940" maxValue="13240"/>
    </cacheField>
    <cacheField name="Notes" numFmtId="0">
      <sharedItems containsBlank="1"/>
    </cacheField>
    <cacheField name="Start Date" numFmtId="0">
      <sharedItems containsNonDate="0" containsDate="1" containsString="0" containsBlank="1" minDate="2014-02-24T00:00:00" maxDate="2014-08-15T00:00:00"/>
    </cacheField>
    <cacheField name="Source" numFmtId="0">
      <sharedItems containsBlank="1"/>
    </cacheField>
    <cacheField name="Referr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8">
  <r>
    <x v="0"/>
    <x v="0"/>
    <s v="P2"/>
    <s v="FTE"/>
    <s v="Dev"/>
    <m/>
    <m/>
    <m/>
    <m/>
    <x v="0"/>
    <x v="0"/>
  </r>
  <r>
    <x v="1"/>
    <x v="0"/>
    <s v="M5"/>
    <s v="FTE"/>
    <s v="Lead"/>
    <m/>
    <m/>
    <m/>
    <m/>
    <x v="0"/>
    <x v="0"/>
  </r>
  <r>
    <x v="2"/>
    <x v="0"/>
    <s v="P4"/>
    <s v="FTE"/>
    <s v="Dev"/>
    <m/>
    <m/>
    <m/>
    <m/>
    <x v="0"/>
    <x v="0"/>
  </r>
  <r>
    <x v="3"/>
    <x v="1"/>
    <s v="P4"/>
    <s v="FTE"/>
    <s v="QA"/>
    <m/>
    <m/>
    <m/>
    <m/>
    <x v="0"/>
    <x v="0"/>
  </r>
  <r>
    <x v="4"/>
    <x v="0"/>
    <s v="P3"/>
    <s v="Consultant"/>
    <s v="PO"/>
    <s v="HCPAW-FY14 Invest Invest"/>
    <n v="11945"/>
    <s v="Backfill for Thorsten.  ZeroChaos opening req 012250 for their tracking."/>
    <d v="2014-04-07T00:00:00"/>
    <x v="1"/>
    <x v="1"/>
  </r>
  <r>
    <x v="5"/>
    <x v="1"/>
    <s v="P4"/>
    <s v="FTE"/>
    <s v="Characterization"/>
    <m/>
    <m/>
    <m/>
    <m/>
    <x v="0"/>
    <x v="0"/>
  </r>
  <r>
    <x v="6"/>
    <x v="0"/>
    <s v="P1"/>
    <s v="Consultant"/>
    <s v="QA"/>
    <s v="HCPAW-FY14 Invest Invest"/>
    <n v="11949"/>
    <s v="Backfill for HCP-AW sustaining."/>
    <d v="2014-06-02T00:00:00"/>
    <x v="2"/>
    <x v="0"/>
  </r>
  <r>
    <x v="7"/>
    <x v="1"/>
    <s v="P5"/>
    <s v="FTE"/>
    <s v="Characterization"/>
    <m/>
    <m/>
    <m/>
    <m/>
    <x v="0"/>
    <x v="0"/>
  </r>
  <r>
    <x v="8"/>
    <x v="0"/>
    <s v="P4"/>
    <s v="FTE"/>
    <s v="Dev"/>
    <m/>
    <m/>
    <m/>
    <m/>
    <x v="0"/>
    <x v="0"/>
  </r>
  <r>
    <x v="9"/>
    <x v="0"/>
    <s v="P4"/>
    <s v="FTE"/>
    <s v="Dev"/>
    <m/>
    <m/>
    <m/>
    <m/>
    <x v="0"/>
    <x v="0"/>
  </r>
  <r>
    <x v="10"/>
    <x v="0"/>
    <s v="M3"/>
    <s v="FTE"/>
    <s v="QA"/>
    <m/>
    <m/>
    <m/>
    <m/>
    <x v="0"/>
    <x v="0"/>
  </r>
  <r>
    <x v="11"/>
    <x v="0"/>
    <s v="P2"/>
    <s v="FTE"/>
    <s v="Characterization"/>
    <m/>
    <m/>
    <m/>
    <m/>
    <x v="0"/>
    <x v="0"/>
  </r>
  <r>
    <x v="12"/>
    <x v="2"/>
    <s v="P3"/>
    <s v="FTE"/>
    <s v="Dev"/>
    <m/>
    <m/>
    <m/>
    <m/>
    <x v="0"/>
    <x v="0"/>
  </r>
  <r>
    <x v="13"/>
    <x v="0"/>
    <s v="P2"/>
    <s v="Consultant"/>
    <s v="Auto"/>
    <s v="HCP replacement"/>
    <n v="13170"/>
    <s v="DaveO backfill, goes to AW (swapped with Frank Fodera).  Confirm approval"/>
    <d v="2014-06-23T00:00:00"/>
    <x v="3"/>
    <x v="0"/>
  </r>
  <r>
    <x v="14"/>
    <x v="1"/>
    <s v="M3"/>
    <s v="FTE"/>
    <s v="QA"/>
    <m/>
    <m/>
    <m/>
    <m/>
    <x v="0"/>
    <x v="0"/>
  </r>
  <r>
    <x v="15"/>
    <x v="1"/>
    <s v="P4"/>
    <s v="FTE"/>
    <s v="Dev"/>
    <m/>
    <m/>
    <m/>
    <m/>
    <x v="0"/>
    <x v="0"/>
  </r>
  <r>
    <x v="16"/>
    <x v="2"/>
    <s v="P4"/>
    <s v="FTE"/>
    <s v="PO"/>
    <s v="HCP replacement"/>
    <n v="11960"/>
    <s v="Backfill for JesseD.  4/14 start date"/>
    <d v="2014-04-14T00:00:00"/>
    <x v="1"/>
    <x v="2"/>
  </r>
  <r>
    <x v="17"/>
    <x v="0"/>
    <s v="P2"/>
    <s v="FTE"/>
    <s v="Doc"/>
    <m/>
    <m/>
    <m/>
    <m/>
    <x v="0"/>
    <x v="0"/>
  </r>
  <r>
    <x v="18"/>
    <x v="0"/>
    <s v="P4"/>
    <s v="FTE"/>
    <s v="Dev"/>
    <s v="HCPAW-FY14 Invest"/>
    <n v="11943"/>
    <s v="Start date 4/7/14"/>
    <d v="2014-04-07T00:00:00"/>
    <x v="1"/>
    <x v="3"/>
  </r>
  <r>
    <x v="19"/>
    <x v="1"/>
    <s v="P4"/>
    <s v="FTE"/>
    <s v="Dev"/>
    <m/>
    <m/>
    <m/>
    <m/>
    <x v="0"/>
    <x v="0"/>
  </r>
  <r>
    <x v="20"/>
    <x v="0"/>
    <s v="P2"/>
    <s v="FTE"/>
    <s v="QA"/>
    <m/>
    <m/>
    <s v="Went to AW 6/30/14."/>
    <m/>
    <x v="0"/>
    <x v="0"/>
  </r>
  <r>
    <x v="21"/>
    <x v="1"/>
    <s v="P4"/>
    <s v="FTE"/>
    <s v="Doc"/>
    <m/>
    <m/>
    <m/>
    <m/>
    <x v="0"/>
    <x v="0"/>
  </r>
  <r>
    <x v="22"/>
    <x v="2"/>
    <s v="P2"/>
    <s v="FTE"/>
    <s v="Sustaining"/>
    <m/>
    <m/>
    <m/>
    <m/>
    <x v="0"/>
    <x v="0"/>
  </r>
  <r>
    <x v="23"/>
    <x v="1"/>
    <s v="P1"/>
    <s v="Consultant"/>
    <s v="Auto"/>
    <m/>
    <n v="12898"/>
    <s v="Converting to P1 FTE. "/>
    <m/>
    <x v="0"/>
    <x v="0"/>
  </r>
  <r>
    <x v="24"/>
    <x v="2"/>
    <s v="P4"/>
    <s v="Consultant"/>
    <s v="Auto"/>
    <m/>
    <m/>
    <m/>
    <m/>
    <x v="0"/>
    <x v="0"/>
  </r>
  <r>
    <x v="25"/>
    <x v="0"/>
    <s v="P2"/>
    <s v="Consultant"/>
    <s v="Auto"/>
    <s v="HCPAW-FY14 Invest"/>
    <n v="11947"/>
    <m/>
    <d v="2014-02-24T00:00:00"/>
    <x v="2"/>
    <x v="0"/>
  </r>
  <r>
    <x v="26"/>
    <x v="2"/>
    <s v="P1"/>
    <s v="Consultant"/>
    <s v="Doc"/>
    <m/>
    <m/>
    <s v="Replaced Krista Canwell."/>
    <d v="2014-07-21T00:00:00"/>
    <x v="4"/>
    <x v="0"/>
  </r>
  <r>
    <x v="27"/>
    <x v="1"/>
    <s v="P1"/>
    <s v="Consultant"/>
    <s v="Auto"/>
    <m/>
    <m/>
    <m/>
    <m/>
    <x v="0"/>
    <x v="0"/>
  </r>
  <r>
    <x v="28"/>
    <x v="2"/>
    <s v="P2"/>
    <s v="FTE"/>
    <s v="Auto"/>
    <s v="HCPAW-FY14 Invest"/>
    <n v="11951"/>
    <s v="Backfill for ScottY transition to dev.  Was a DEV req originally."/>
    <d v="2014-05-12T00:00:00"/>
    <x v="1"/>
    <x v="4"/>
  </r>
  <r>
    <x v="29"/>
    <x v="2"/>
    <s v="P3"/>
    <s v="Consultant"/>
    <s v="QA"/>
    <s v="HCPAW-FY14 Invest"/>
    <n v="11955"/>
    <s v="Went to HCP instead of AW. Senior HCP QA goes to AW after Ironman."/>
    <d v="2014-03-17T00:00:00"/>
    <x v="2"/>
    <x v="0"/>
  </r>
  <r>
    <x v="30"/>
    <x v="2"/>
    <s v="P2"/>
    <s v="FTE"/>
    <s v="Dev"/>
    <m/>
    <m/>
    <m/>
    <m/>
    <x v="0"/>
    <x v="0"/>
  </r>
  <r>
    <x v="31"/>
    <x v="1"/>
    <s v="P4"/>
    <s v="FTE"/>
    <s v="QA"/>
    <m/>
    <m/>
    <m/>
    <m/>
    <x v="0"/>
    <x v="0"/>
  </r>
  <r>
    <x v="32"/>
    <x v="1"/>
    <s v="P3"/>
    <s v="FTE"/>
    <s v="Dev"/>
    <m/>
    <m/>
    <m/>
    <m/>
    <x v="0"/>
    <x v="0"/>
  </r>
  <r>
    <x v="33"/>
    <x v="2"/>
    <s v="P3"/>
    <s v="FTE"/>
    <s v="Dev"/>
    <m/>
    <m/>
    <m/>
    <m/>
    <x v="0"/>
    <x v="0"/>
  </r>
  <r>
    <x v="34"/>
    <x v="2"/>
    <s v="P4"/>
    <s v="FTE"/>
    <s v="Auto"/>
    <m/>
    <m/>
    <m/>
    <m/>
    <x v="0"/>
    <x v="0"/>
  </r>
  <r>
    <x v="35"/>
    <x v="3"/>
    <s v="P2"/>
    <s v="FTE"/>
    <s v="DevOps"/>
    <s v="HCPAW-FY14 Invest"/>
    <n v="11958"/>
    <s v="Backfill for HCP sustaining into DevOps role."/>
    <d v="2014-06-16T00:00:00"/>
    <x v="1"/>
    <x v="5"/>
  </r>
  <r>
    <x v="36"/>
    <x v="0"/>
    <s v="P4"/>
    <s v="FTE"/>
    <s v="Dev"/>
    <m/>
    <m/>
    <m/>
    <m/>
    <x v="0"/>
    <x v="0"/>
  </r>
  <r>
    <x v="37"/>
    <x v="2"/>
    <s v="M3"/>
    <s v="FTE"/>
    <s v="Dev"/>
    <m/>
    <m/>
    <m/>
    <m/>
    <x v="0"/>
    <x v="0"/>
  </r>
  <r>
    <x v="38"/>
    <x v="0"/>
    <s v="P4"/>
    <s v="FTE"/>
    <s v="Dev"/>
    <m/>
    <m/>
    <m/>
    <m/>
    <x v="0"/>
    <x v="0"/>
  </r>
  <r>
    <x v="39"/>
    <x v="2"/>
    <s v="P4"/>
    <s v="FTE"/>
    <s v="Dev"/>
    <m/>
    <m/>
    <m/>
    <m/>
    <x v="0"/>
    <x v="0"/>
  </r>
  <r>
    <x v="40"/>
    <x v="4"/>
    <s v="S1"/>
    <s v="Consultant"/>
    <s v="Admin"/>
    <m/>
    <m/>
    <s v="Replacing Hannah."/>
    <d v="2014-06-30T00:00:00"/>
    <x v="3"/>
    <x v="0"/>
  </r>
  <r>
    <x v="41"/>
    <x v="2"/>
    <s v="M4"/>
    <s v="FTE"/>
    <s v="Lead"/>
    <m/>
    <m/>
    <m/>
    <m/>
    <x v="0"/>
    <x v="0"/>
  </r>
  <r>
    <x v="42"/>
    <x v="0"/>
    <s v="M2"/>
    <s v="FTE"/>
    <s v="Dev"/>
    <m/>
    <m/>
    <m/>
    <m/>
    <x v="0"/>
    <x v="0"/>
  </r>
  <r>
    <x v="43"/>
    <x v="0"/>
    <s v="P4"/>
    <s v="FTE"/>
    <s v="Characterization"/>
    <m/>
    <m/>
    <m/>
    <m/>
    <x v="0"/>
    <x v="0"/>
  </r>
  <r>
    <x v="44"/>
    <x v="0"/>
    <s v="P1"/>
    <s v="FTE"/>
    <s v="Characterization"/>
    <m/>
    <m/>
    <m/>
    <m/>
    <x v="0"/>
    <x v="0"/>
  </r>
  <r>
    <x v="45"/>
    <x v="0"/>
    <s v="P1"/>
    <s v="FTE"/>
    <s v="QA"/>
    <m/>
    <m/>
    <m/>
    <m/>
    <x v="0"/>
    <x v="0"/>
  </r>
  <r>
    <x v="46"/>
    <x v="0"/>
    <s v="P2"/>
    <s v="Consultant"/>
    <s v="Dev"/>
    <s v="HCPAW-FY14 Invest"/>
    <n v="11954"/>
    <s v=" Zero Chaos opened req 012176 for their tracking. Need final start date."/>
    <d v="2014-04-21T00:00:00"/>
    <x v="1"/>
    <x v="6"/>
  </r>
  <r>
    <x v="47"/>
    <x v="2"/>
    <s v="M3"/>
    <s v="FTE"/>
    <s v="PO"/>
    <m/>
    <m/>
    <m/>
    <m/>
    <x v="0"/>
    <x v="0"/>
  </r>
  <r>
    <x v="48"/>
    <x v="5"/>
    <s v="M5"/>
    <s v="FTE"/>
    <s v="Lead"/>
    <m/>
    <m/>
    <m/>
    <m/>
    <x v="0"/>
    <x v="0"/>
  </r>
  <r>
    <x v="49"/>
    <x v="1"/>
    <s v="P6"/>
    <s v="FTE"/>
    <s v="PO"/>
    <m/>
    <m/>
    <m/>
    <m/>
    <x v="0"/>
    <x v="0"/>
  </r>
  <r>
    <x v="50"/>
    <x v="1"/>
    <s v="P1"/>
    <s v="Consultant"/>
    <s v="QA"/>
    <m/>
    <m/>
    <m/>
    <m/>
    <x v="0"/>
    <x v="0"/>
  </r>
  <r>
    <x v="51"/>
    <x v="2"/>
    <s v="P4"/>
    <s v="FTE"/>
    <s v="Dev"/>
    <m/>
    <m/>
    <m/>
    <m/>
    <x v="0"/>
    <x v="0"/>
  </r>
  <r>
    <x v="52"/>
    <x v="0"/>
    <s v="P4"/>
    <s v="FTE"/>
    <s v="Dev"/>
    <m/>
    <m/>
    <m/>
    <m/>
    <x v="0"/>
    <x v="0"/>
  </r>
  <r>
    <x v="53"/>
    <x v="1"/>
    <s v="P3"/>
    <s v="FTE"/>
    <s v="Dev"/>
    <m/>
    <m/>
    <m/>
    <m/>
    <x v="0"/>
    <x v="0"/>
  </r>
  <r>
    <x v="54"/>
    <x v="4"/>
    <s v="S2"/>
    <s v="FTE"/>
    <s v="Admin"/>
    <m/>
    <m/>
    <m/>
    <m/>
    <x v="0"/>
    <x v="0"/>
  </r>
  <r>
    <x v="55"/>
    <x v="1"/>
    <s v="P2"/>
    <s v="FTE"/>
    <s v="Dev"/>
    <m/>
    <m/>
    <m/>
    <m/>
    <x v="0"/>
    <x v="0"/>
  </r>
  <r>
    <x v="56"/>
    <x v="0"/>
    <s v="P5"/>
    <s v="FTE"/>
    <s v="PO"/>
    <m/>
    <m/>
    <m/>
    <m/>
    <x v="0"/>
    <x v="0"/>
  </r>
  <r>
    <x v="57"/>
    <x v="1"/>
    <s v="M3"/>
    <s v="FTE"/>
    <s v="Auto"/>
    <m/>
    <m/>
    <m/>
    <m/>
    <x v="0"/>
    <x v="0"/>
  </r>
  <r>
    <x v="58"/>
    <x v="0"/>
    <s v="P4"/>
    <s v="FTE"/>
    <s v="Characterization"/>
    <m/>
    <m/>
    <m/>
    <m/>
    <x v="0"/>
    <x v="0"/>
  </r>
  <r>
    <x v="59"/>
    <x v="0"/>
    <s v="P5"/>
    <s v="FTE"/>
    <s v="QA"/>
    <s v="HCPAW-FY14 Invest"/>
    <n v="11944"/>
    <s v="Need to uplevel to P5."/>
    <d v="2014-05-06T00:00:00"/>
    <x v="1"/>
    <x v="7"/>
  </r>
  <r>
    <x v="60"/>
    <x v="0"/>
    <s v="P3"/>
    <s v="FTE"/>
    <s v="Auto"/>
    <m/>
    <m/>
    <m/>
    <m/>
    <x v="0"/>
    <x v="0"/>
  </r>
  <r>
    <x v="61"/>
    <x v="1"/>
    <s v="M5"/>
    <s v="FTE"/>
    <s v="Lead"/>
    <m/>
    <m/>
    <m/>
    <m/>
    <x v="0"/>
    <x v="0"/>
  </r>
  <r>
    <x v="62"/>
    <x v="0"/>
    <s v="P4"/>
    <s v="Consultant"/>
    <s v="Dev"/>
    <s v="HCPAW-FY14 Invest"/>
    <n v="11942"/>
    <s v="Zero Chaos opened req 011979 for their tracking of this."/>
    <d v="2014-03-05T00:00:00"/>
    <x v="1"/>
    <x v="8"/>
  </r>
  <r>
    <x v="63"/>
    <x v="0"/>
    <s v="P5"/>
    <s v="FTE"/>
    <s v="PO"/>
    <m/>
    <m/>
    <m/>
    <m/>
    <x v="0"/>
    <x v="0"/>
  </r>
  <r>
    <x v="64"/>
    <x v="1"/>
    <s v="P4"/>
    <s v="FTE"/>
    <s v="Dev"/>
    <m/>
    <m/>
    <m/>
    <m/>
    <x v="0"/>
    <x v="0"/>
  </r>
  <r>
    <x v="65"/>
    <x v="2"/>
    <s v="P1"/>
    <s v="Consultant"/>
    <s v="Sustaining"/>
    <m/>
    <m/>
    <m/>
    <m/>
    <x v="0"/>
    <x v="0"/>
  </r>
  <r>
    <x v="66"/>
    <x v="2"/>
    <s v="P4"/>
    <s v="FTE"/>
    <s v="QA"/>
    <m/>
    <m/>
    <m/>
    <m/>
    <x v="0"/>
    <x v="0"/>
  </r>
  <r>
    <x v="67"/>
    <x v="3"/>
    <s v="P2"/>
    <s v="FTE"/>
    <s v="DevOps"/>
    <m/>
    <m/>
    <s v="JeffB backfill."/>
    <d v="2014-03-03T00:00:00"/>
    <x v="5"/>
    <x v="0"/>
  </r>
  <r>
    <x v="68"/>
    <x v="2"/>
    <s v="P4"/>
    <s v="FTE"/>
    <s v="Dev"/>
    <m/>
    <m/>
    <m/>
    <m/>
    <x v="0"/>
    <x v="0"/>
  </r>
  <r>
    <x v="69"/>
    <x v="5"/>
    <s v="P5"/>
    <s v="FTE"/>
    <s v="Tech"/>
    <m/>
    <m/>
    <m/>
    <m/>
    <x v="0"/>
    <x v="0"/>
  </r>
  <r>
    <x v="70"/>
    <x v="0"/>
    <s v="P4"/>
    <s v="FTE"/>
    <s v="UI"/>
    <m/>
    <m/>
    <m/>
    <m/>
    <x v="0"/>
    <x v="0"/>
  </r>
  <r>
    <x v="71"/>
    <x v="2"/>
    <s v="P1"/>
    <s v="FTE"/>
    <s v="Sustaining"/>
    <m/>
    <m/>
    <s v="Moved to Sustaining 6/30/14 or so."/>
    <m/>
    <x v="0"/>
    <x v="0"/>
  </r>
  <r>
    <x v="72"/>
    <x v="2"/>
    <s v="P4"/>
    <s v="FTE"/>
    <s v="Characterization"/>
    <m/>
    <m/>
    <m/>
    <m/>
    <x v="0"/>
    <x v="0"/>
  </r>
  <r>
    <x v="73"/>
    <x v="1"/>
    <s v="P4"/>
    <s v="FTE"/>
    <s v="Dev"/>
    <m/>
    <m/>
    <m/>
    <m/>
    <x v="0"/>
    <x v="0"/>
  </r>
  <r>
    <x v="74"/>
    <x v="3"/>
    <s v="P2"/>
    <s v="Consultant"/>
    <s v="DevOps"/>
    <s v="HCP replacement"/>
    <n v="12372"/>
    <s v="HeatherD backfill. "/>
    <m/>
    <x v="0"/>
    <x v="0"/>
  </r>
  <r>
    <x v="74"/>
    <x v="2"/>
    <s v="P1"/>
    <s v="Consultant"/>
    <s v="Auto"/>
    <s v="HCP replacement"/>
    <n v="11952"/>
    <s v="Backfill for Amrut.  Moves to Auto for 3 track model"/>
    <m/>
    <x v="0"/>
    <x v="0"/>
  </r>
  <r>
    <x v="74"/>
    <x v="2"/>
    <s v="P2"/>
    <s v="FTE"/>
    <s v="Auto"/>
    <s v="HCP replacement"/>
    <n v="12373"/>
    <s v="ArunaA backfill (swapped with 013171).  Nathan Jellis"/>
    <m/>
    <x v="0"/>
    <x v="0"/>
  </r>
  <r>
    <x v="74"/>
    <x v="2"/>
    <s v="P1"/>
    <s v="Consultant"/>
    <s v="Auto"/>
    <s v="HCPAW-FY14 Invest Invest"/>
    <n v="11959"/>
    <s v="Backfill for HCP sustaining"/>
    <m/>
    <x v="0"/>
    <x v="0"/>
  </r>
  <r>
    <x v="74"/>
    <x v="2"/>
    <s v="P3"/>
    <s v="Consultant"/>
    <s v="Characterization"/>
    <s v="HCP replacement"/>
    <n v="13172"/>
    <s v="Backfill for Brian O'Halloran.  Last day 7/3/2014.  Confirm approval"/>
    <m/>
    <x v="0"/>
    <x v="0"/>
  </r>
  <r>
    <x v="74"/>
    <x v="2"/>
    <s v="P3"/>
    <s v="FTE"/>
    <s v="Dev"/>
    <s v="HCP replacement"/>
    <m/>
    <s v="Backfill for BenI."/>
    <m/>
    <x v="0"/>
    <x v="0"/>
  </r>
  <r>
    <x v="74"/>
    <x v="2"/>
    <s v="P2"/>
    <s v="Consultant"/>
    <s v="Dev"/>
    <s v="HCP replacement"/>
    <n v="13171"/>
    <s v="Backfill for Cody Lee.  Confirm approval."/>
    <m/>
    <x v="0"/>
    <x v="0"/>
  </r>
  <r>
    <x v="74"/>
    <x v="2"/>
    <s v="P3"/>
    <s v="FTE"/>
    <s v="Sustaining"/>
    <s v="FCS-HCP-FY14 Investment"/>
    <n v="13239"/>
    <s v="Hold until Oct. for FCS budget.  Penny"/>
    <m/>
    <x v="0"/>
    <x v="0"/>
  </r>
  <r>
    <x v="74"/>
    <x v="1"/>
    <s v="P2"/>
    <s v="Consultant"/>
    <s v="Auto"/>
    <s v="Rhino replacement"/>
    <n v="12887"/>
    <s v="Backfill for ChrisAl.    Confirm that this is approved."/>
    <m/>
    <x v="0"/>
    <x v="0"/>
  </r>
  <r>
    <x v="74"/>
    <x v="1"/>
    <s v="P3"/>
    <s v="FTE"/>
    <s v="Dev"/>
    <s v="HCP replacement"/>
    <n v="12829"/>
    <s v="Backfill for Kamlesh Nahata."/>
    <m/>
    <x v="0"/>
    <x v="0"/>
  </r>
  <r>
    <x v="74"/>
    <x v="1"/>
    <s v="P3"/>
    <s v="FTE"/>
    <s v="PO"/>
    <s v="HCPAW-FY14 Invest"/>
    <n v="11948"/>
    <s v="Hold until Oct. for AW budget. Backfill PO from CynthiaP.  Hold for MarkB return - ~October."/>
    <m/>
    <x v="0"/>
    <x v="0"/>
  </r>
  <r>
    <x v="74"/>
    <x v="2"/>
    <s v="P2"/>
    <s v="FTE"/>
    <s v="Dev"/>
    <s v="HCP-AW Replacement"/>
    <n v="12706"/>
    <s v="`"/>
    <m/>
    <x v="0"/>
    <x v="0"/>
  </r>
  <r>
    <x v="74"/>
    <x v="0"/>
    <s v="M3"/>
    <s v="FTE"/>
    <s v="Dev"/>
    <s v="HCPAW-FY14 Invest"/>
    <n v="11940"/>
    <s v="Hold until Oct. unless Insu has savings in AW investment budget"/>
    <m/>
    <x v="0"/>
    <x v="0"/>
  </r>
  <r>
    <x v="74"/>
    <x v="0"/>
    <s v="P3"/>
    <s v="Consultant"/>
    <s v="PO"/>
    <s v="HCPAW-FY14 Invest"/>
    <n v="11957"/>
    <s v="Hold until Oct for AW budget.   Was characterization."/>
    <m/>
    <x v="0"/>
    <x v="0"/>
  </r>
  <r>
    <x v="74"/>
    <x v="0"/>
    <s v="P3"/>
    <s v="FTE"/>
    <s v="Sustaining"/>
    <s v="FCS-HCP-FY14 Investment"/>
    <n v="13240"/>
    <s v="Hold until Jan. for FCS budget.  Penny"/>
    <m/>
    <x v="0"/>
    <x v="0"/>
  </r>
  <r>
    <x v="74"/>
    <x v="6"/>
    <s v="P2"/>
    <s v="Consultant"/>
    <s v="Auto"/>
    <s v="HDDS/Maldives FY14 Investment"/>
    <n v="13166"/>
    <s v="Penny"/>
    <m/>
    <x v="0"/>
    <x v="0"/>
  </r>
  <r>
    <x v="74"/>
    <x v="6"/>
    <s v="P4"/>
    <s v="FTE"/>
    <s v="Dev"/>
    <s v="HDDS/Maldives FY14 Investment"/>
    <n v="13120"/>
    <s v="Penny.  Manet"/>
    <m/>
    <x v="0"/>
    <x v="0"/>
  </r>
  <r>
    <x v="74"/>
    <x v="6"/>
    <s v="P3"/>
    <s v="FTE"/>
    <s v="Dev"/>
    <s v="HDDS/Maldives FY14 Investment"/>
    <n v="13121"/>
    <s v="Penny"/>
    <m/>
    <x v="0"/>
    <x v="0"/>
  </r>
  <r>
    <x v="74"/>
    <x v="6"/>
    <s v="P5"/>
    <s v="FTE"/>
    <s v="PO"/>
    <s v="HDDS/Maldives FY14 Investment"/>
    <n v="13118"/>
    <s v="Penny.  External facing PO / Tech / Sustaining indvidual"/>
    <m/>
    <x v="0"/>
    <x v="0"/>
  </r>
  <r>
    <x v="74"/>
    <x v="6"/>
    <s v="P2"/>
    <s v="Consultant"/>
    <s v="QA"/>
    <s v="HDDS/Maldives FY14 Investment"/>
    <n v="13167"/>
    <s v="Penny"/>
    <m/>
    <x v="0"/>
    <x v="0"/>
  </r>
  <r>
    <x v="74"/>
    <x v="5"/>
    <s v="P4"/>
    <s v="FTE"/>
    <s v="Tech"/>
    <s v="FCS-HCP-FY14 Investment"/>
    <n v="13237"/>
    <s v="Penny"/>
    <m/>
    <x v="0"/>
    <x v="0"/>
  </r>
  <r>
    <x v="74"/>
    <x v="5"/>
    <s v="P4"/>
    <s v="FTE"/>
    <s v="Tech"/>
    <s v="FCS-HCP-FY14 Investment"/>
    <n v="13238"/>
    <s v="Hold until Oct. for FCS budget.  Penny"/>
    <m/>
    <x v="0"/>
    <x v="0"/>
  </r>
  <r>
    <x v="74"/>
    <x v="5"/>
    <s v="P4"/>
    <s v="FTE"/>
    <s v="Tech"/>
    <s v="HCP replacement"/>
    <n v="12455"/>
    <s v="Backfill for CynthiaP.  Trade or take off the table."/>
    <m/>
    <x v="1"/>
    <x v="0"/>
  </r>
  <r>
    <x v="75"/>
    <x v="0"/>
    <s v="P4"/>
    <s v="FTE"/>
    <s v="Dev"/>
    <m/>
    <m/>
    <m/>
    <m/>
    <x v="0"/>
    <x v="0"/>
  </r>
  <r>
    <x v="76"/>
    <x v="0"/>
    <s v="P2"/>
    <s v="FTE"/>
    <s v="Dev"/>
    <m/>
    <m/>
    <m/>
    <m/>
    <x v="0"/>
    <x v="0"/>
  </r>
  <r>
    <x v="77"/>
    <x v="0"/>
    <s v="P3"/>
    <s v="FTE"/>
    <s v="Auto"/>
    <m/>
    <m/>
    <m/>
    <m/>
    <x v="0"/>
    <x v="0"/>
  </r>
  <r>
    <x v="78"/>
    <x v="3"/>
    <s v="P3"/>
    <s v="FTE"/>
    <s v="DevOps"/>
    <m/>
    <m/>
    <m/>
    <m/>
    <x v="0"/>
    <x v="0"/>
  </r>
  <r>
    <x v="79"/>
    <x v="0"/>
    <s v="P4"/>
    <s v="FTE"/>
    <s v="QA"/>
    <s v="HCPAW-FY14 Invest"/>
    <n v="11956"/>
    <s v="Backfill for JB.  Need start date and formal offer.  Need to bump req from P3 to P4."/>
    <d v="2014-05-06T00:00:00"/>
    <x v="1"/>
    <x v="9"/>
  </r>
  <r>
    <x v="80"/>
    <x v="2"/>
    <s v="P1"/>
    <s v="FTE"/>
    <s v="QA"/>
    <m/>
    <m/>
    <m/>
    <m/>
    <x v="0"/>
    <x v="0"/>
  </r>
  <r>
    <x v="81"/>
    <x v="2"/>
    <s v="P3"/>
    <s v="FTE"/>
    <s v="UI"/>
    <m/>
    <m/>
    <m/>
    <m/>
    <x v="0"/>
    <x v="0"/>
  </r>
  <r>
    <x v="82"/>
    <x v="0"/>
    <s v="P2"/>
    <s v="FTE"/>
    <s v="Dev"/>
    <m/>
    <m/>
    <m/>
    <m/>
    <x v="0"/>
    <x v="0"/>
  </r>
  <r>
    <x v="83"/>
    <x v="0"/>
    <s v="P2"/>
    <s v="FTE"/>
    <s v="Dev"/>
    <m/>
    <m/>
    <m/>
    <m/>
    <x v="0"/>
    <x v="0"/>
  </r>
  <r>
    <x v="84"/>
    <x v="2"/>
    <s v="P5"/>
    <s v="FTE"/>
    <s v="Dev"/>
    <m/>
    <m/>
    <m/>
    <m/>
    <x v="0"/>
    <x v="0"/>
  </r>
  <r>
    <x v="85"/>
    <x v="7"/>
    <m/>
    <m/>
    <m/>
    <m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8">
  <r>
    <d v="2014-07-25T11:13:39"/>
    <x v="0"/>
    <x v="0"/>
    <s v="HCP-AW"/>
    <x v="0"/>
    <s v="P2"/>
    <x v="0"/>
    <s v="Dev"/>
    <s v=" "/>
    <m/>
    <m/>
    <m/>
    <m/>
    <m/>
  </r>
  <r>
    <d v="2014-07-25T10:35:29"/>
    <x v="1"/>
    <x v="1"/>
    <s v="HCP-AW"/>
    <x v="1"/>
    <s v="M5"/>
    <x v="0"/>
    <s v="Lead"/>
    <m/>
    <m/>
    <m/>
    <m/>
    <m/>
    <m/>
  </r>
  <r>
    <d v="2014-07-25T10:38:34"/>
    <x v="2"/>
    <x v="0"/>
    <s v="HCP-AW"/>
    <x v="2"/>
    <s v="P4"/>
    <x v="0"/>
    <s v="Dev"/>
    <m/>
    <m/>
    <m/>
    <m/>
    <m/>
    <m/>
  </r>
  <r>
    <d v="2014-07-25T11:14:04"/>
    <x v="3"/>
    <x v="2"/>
    <s v="HCP (Rhino)"/>
    <x v="3"/>
    <s v="P4"/>
    <x v="0"/>
    <s v="QA"/>
    <m/>
    <m/>
    <m/>
    <m/>
    <m/>
    <m/>
  </r>
  <r>
    <d v="2014-07-25T10:35:54"/>
    <x v="4"/>
    <x v="3"/>
    <s v="HCP-AW"/>
    <x v="4"/>
    <s v="P3"/>
    <x v="1"/>
    <s v="PO"/>
    <s v="HCPAW-FY14 Invest Invest"/>
    <n v="11945"/>
    <s v="Backfill for Thorsten.  ZeroChaos opening req 012250 for their tracking."/>
    <d v="2014-04-07T00:00:00"/>
    <s v="HDS"/>
    <s v="Eric Wilson"/>
  </r>
  <r>
    <d v="2014-07-25T10:50:12"/>
    <x v="5"/>
    <x v="4"/>
    <s v="HCP (Rhino)"/>
    <x v="2"/>
    <s v="P4"/>
    <x v="0"/>
    <s v="Characterization"/>
    <m/>
    <m/>
    <m/>
    <m/>
    <m/>
    <m/>
  </r>
  <r>
    <d v="2014-07-25T11:14:08"/>
    <x v="6"/>
    <x v="5"/>
    <s v="HCP-AW"/>
    <x v="5"/>
    <s v="P1"/>
    <x v="1"/>
    <s v="QA"/>
    <s v="HCPAW-FY14 Invest Invest"/>
    <n v="11949"/>
    <s v="Backfill for HCP-AW sustaining."/>
    <d v="2014-06-02T00:00:00"/>
    <s v="NetPolarity"/>
    <m/>
  </r>
  <r>
    <d v="2014-07-25T10:50:16"/>
    <x v="7"/>
    <x v="4"/>
    <s v="HCP (Rhino)"/>
    <x v="6"/>
    <s v="P5"/>
    <x v="0"/>
    <s v="Characterization"/>
    <m/>
    <m/>
    <m/>
    <m/>
    <m/>
    <m/>
  </r>
  <r>
    <d v="2014-07-25T10:42:20"/>
    <x v="8"/>
    <x v="6"/>
    <s v="HCP-AW"/>
    <x v="2"/>
    <s v="P4"/>
    <x v="0"/>
    <s v="Dev"/>
    <m/>
    <m/>
    <m/>
    <m/>
    <m/>
    <m/>
  </r>
  <r>
    <d v="2014-07-25T10:36:24"/>
    <x v="9"/>
    <x v="3"/>
    <s v="HCP-AW"/>
    <x v="2"/>
    <s v="P4"/>
    <x v="0"/>
    <s v="Dev"/>
    <m/>
    <m/>
    <m/>
    <m/>
    <m/>
    <m/>
  </r>
  <r>
    <d v="2014-07-25T10:37:51"/>
    <x v="10"/>
    <x v="5"/>
    <s v="HCP-AW"/>
    <x v="7"/>
    <s v="M3"/>
    <x v="0"/>
    <s v="QA"/>
    <m/>
    <m/>
    <m/>
    <m/>
    <m/>
    <m/>
  </r>
  <r>
    <d v="2014-07-25T10:38:39"/>
    <x v="11"/>
    <x v="0"/>
    <s v="HCP-AW"/>
    <x v="0"/>
    <s v="P2"/>
    <x v="0"/>
    <s v="Characterization"/>
    <m/>
    <m/>
    <m/>
    <m/>
    <m/>
    <m/>
  </r>
  <r>
    <d v="2014-07-25T10:47:35"/>
    <x v="12"/>
    <x v="7"/>
    <s v="HCP"/>
    <x v="4"/>
    <s v="P3"/>
    <x v="0"/>
    <s v="Dev"/>
    <m/>
    <m/>
    <m/>
    <m/>
    <m/>
    <m/>
  </r>
  <r>
    <d v="2014-07-25T10:33:49"/>
    <x v="13"/>
    <x v="5"/>
    <s v="HCP-AW"/>
    <x v="0"/>
    <s v="P2"/>
    <x v="1"/>
    <s v="Auto"/>
    <s v="HCP replacement"/>
    <n v="13170"/>
    <s v="DaveO backfill, goes to AW (swapped with Frank Fodera).  Confirm approval"/>
    <d v="2014-06-23T00:00:00"/>
    <s v="Insight Global"/>
    <m/>
  </r>
  <r>
    <d v="2014-07-25T10:51:02"/>
    <x v="14"/>
    <x v="4"/>
    <s v="HCP (Rhino)"/>
    <x v="7"/>
    <s v="M3"/>
    <x v="0"/>
    <s v="QA"/>
    <m/>
    <m/>
    <m/>
    <m/>
    <m/>
    <m/>
  </r>
  <r>
    <d v="2014-07-25T10:49:09"/>
    <x v="15"/>
    <x v="8"/>
    <s v="HCP (Rhino)"/>
    <x v="2"/>
    <s v="P4"/>
    <x v="0"/>
    <s v="Dev"/>
    <m/>
    <m/>
    <m/>
    <m/>
    <m/>
    <m/>
  </r>
  <r>
    <d v="2014-07-25T10:44:41"/>
    <x v="16"/>
    <x v="6"/>
    <s v="HCP"/>
    <x v="2"/>
    <s v="P4"/>
    <x v="0"/>
    <s v="PO"/>
    <s v="HCP replacement"/>
    <n v="11960"/>
    <s v="Backfill for JesseD.  4/14 start date"/>
    <d v="2014-04-14T00:00:00"/>
    <s v="HDS"/>
    <s v="Sameer Apte"/>
  </r>
  <r>
    <d v="2014-07-25T10:40:42"/>
    <x v="17"/>
    <x v="8"/>
    <s v="HCP-AW"/>
    <x v="0"/>
    <s v="P2"/>
    <x v="0"/>
    <s v="Doc"/>
    <m/>
    <m/>
    <m/>
    <m/>
    <m/>
    <m/>
  </r>
  <r>
    <d v="2014-07-25T10:41:42"/>
    <x v="18"/>
    <x v="8"/>
    <s v="HCP-AW"/>
    <x v="2"/>
    <s v="P4"/>
    <x v="0"/>
    <s v="Dev"/>
    <s v="HCPAW-FY14 Invest"/>
    <n v="11943"/>
    <s v="Start date 4/7/14"/>
    <d v="2014-04-07T00:00:00"/>
    <s v="HDS"/>
    <s v="Kevin Grimaldi"/>
  </r>
  <r>
    <d v="2014-07-25T10:49:15"/>
    <x v="19"/>
    <x v="8"/>
    <s v="HCP (Rhino)"/>
    <x v="2"/>
    <s v="P4"/>
    <x v="0"/>
    <s v="Dev"/>
    <m/>
    <m/>
    <m/>
    <m/>
    <m/>
    <m/>
  </r>
  <r>
    <d v="2014-07-25T11:14:17"/>
    <x v="20"/>
    <x v="5"/>
    <s v="HCP-AW"/>
    <x v="8"/>
    <s v="P2"/>
    <x v="0"/>
    <s v="QA"/>
    <m/>
    <m/>
    <s v="Went to AW 6/30/14."/>
    <m/>
    <m/>
    <m/>
  </r>
  <r>
    <d v="2014-07-25T10:50:21"/>
    <x v="21"/>
    <x v="4"/>
    <s v="HCP (Rhino)"/>
    <x v="2"/>
    <s v="P4"/>
    <x v="0"/>
    <s v="Doc"/>
    <m/>
    <m/>
    <m/>
    <m/>
    <m/>
    <m/>
  </r>
  <r>
    <d v="2014-07-25T10:47:41"/>
    <x v="22"/>
    <x v="7"/>
    <s v="HCP"/>
    <x v="0"/>
    <s v="P2"/>
    <x v="0"/>
    <s v="Sustaining"/>
    <m/>
    <m/>
    <m/>
    <m/>
    <m/>
    <m/>
  </r>
  <r>
    <d v="2014-07-25T10:51:10"/>
    <x v="23"/>
    <x v="9"/>
    <s v="HCP (Rhino)"/>
    <x v="9"/>
    <s v="P1"/>
    <x v="1"/>
    <s v="Auto"/>
    <m/>
    <n v="12898"/>
    <s v="Converting to P1 FTE. "/>
    <m/>
    <m/>
    <m/>
  </r>
  <r>
    <d v="2014-07-25T10:52:38"/>
    <x v="24"/>
    <x v="10"/>
    <s v="HCP"/>
    <x v="2"/>
    <s v="P4"/>
    <x v="1"/>
    <s v="Auto"/>
    <m/>
    <m/>
    <m/>
    <m/>
    <m/>
    <m/>
  </r>
  <r>
    <d v="2014-07-25T10:41:21"/>
    <x v="25"/>
    <x v="8"/>
    <s v="HCP-AW"/>
    <x v="0"/>
    <s v="P2"/>
    <x v="1"/>
    <s v="Auto"/>
    <s v="HCPAW-FY14 Invest"/>
    <n v="11947"/>
    <m/>
    <d v="2014-02-24T00:00:00"/>
    <s v="NetPolarity"/>
    <m/>
  </r>
  <r>
    <d v="2014-07-25T10:52:43"/>
    <x v="26"/>
    <x v="10"/>
    <s v="HCP"/>
    <x v="9"/>
    <s v="P1"/>
    <x v="1"/>
    <s v="Doc"/>
    <m/>
    <m/>
    <s v="Replaced Krista Canwell."/>
    <d v="2014-07-21T00:00:00"/>
    <s v="ClearPoint"/>
    <m/>
  </r>
  <r>
    <d v="2014-07-25T10:45:34"/>
    <x v="27"/>
    <x v="2"/>
    <s v="HCP (Rhino)"/>
    <x v="9"/>
    <s v="P1"/>
    <x v="1"/>
    <s v="Auto"/>
    <m/>
    <m/>
    <m/>
    <m/>
    <m/>
    <m/>
  </r>
  <r>
    <d v="2014-07-25T10:48:04"/>
    <x v="28"/>
    <x v="7"/>
    <s v="HCP"/>
    <x v="0"/>
    <s v="P2"/>
    <x v="0"/>
    <s v="Auto"/>
    <s v="HCPAW-FY14 Invest"/>
    <n v="11951"/>
    <s v="Backfill for ScottY transition to dev.  Was a DEV req originally."/>
    <d v="2014-05-12T00:00:00"/>
    <s v="HDS"/>
    <s v="Nick DeRoo"/>
  </r>
  <r>
    <d v="2014-07-25T11:14:14"/>
    <x v="29"/>
    <x v="9"/>
    <s v="HCP"/>
    <x v="10"/>
    <s v="P3"/>
    <x v="1"/>
    <s v="QA"/>
    <s v="HCPAW-FY14 Invest"/>
    <n v="11955"/>
    <s v="Went to HCP instead of AW. Senior HCP QA goes to AW after Ironman."/>
    <d v="2014-03-17T00:00:00"/>
    <s v="NetPolarity"/>
    <m/>
  </r>
  <r>
    <d v="2014-07-25T10:47:46"/>
    <x v="30"/>
    <x v="7"/>
    <s v="HCP"/>
    <x v="0"/>
    <s v="P2"/>
    <x v="0"/>
    <s v="Dev"/>
    <m/>
    <m/>
    <m/>
    <m/>
    <m/>
    <m/>
  </r>
  <r>
    <d v="2014-07-25T11:14:19"/>
    <x v="31"/>
    <x v="9"/>
    <s v="HCP (Rhino)"/>
    <x v="3"/>
    <s v="P4"/>
    <x v="0"/>
    <s v="QA"/>
    <m/>
    <m/>
    <m/>
    <m/>
    <m/>
    <m/>
  </r>
  <r>
    <d v="2014-07-25T10:47:50"/>
    <x v="32"/>
    <x v="7"/>
    <s v="HCP (Rhino)"/>
    <x v="4"/>
    <s v="P3"/>
    <x v="0"/>
    <s v="Dev"/>
    <m/>
    <m/>
    <m/>
    <m/>
    <m/>
    <m/>
  </r>
  <r>
    <d v="2014-07-25T10:50:29"/>
    <x v="33"/>
    <x v="4"/>
    <s v="HCP"/>
    <x v="4"/>
    <s v="P3"/>
    <x v="0"/>
    <s v="Dev"/>
    <m/>
    <m/>
    <m/>
    <m/>
    <m/>
    <m/>
  </r>
  <r>
    <d v="2014-07-25T10:44:51"/>
    <x v="34"/>
    <x v="6"/>
    <s v="HCP"/>
    <x v="2"/>
    <s v="P4"/>
    <x v="0"/>
    <s v="Auto"/>
    <m/>
    <m/>
    <m/>
    <m/>
    <m/>
    <m/>
  </r>
  <r>
    <d v="2014-07-25T10:58:27"/>
    <x v="35"/>
    <x v="10"/>
    <s v="Cross"/>
    <x v="0"/>
    <s v="P2"/>
    <x v="0"/>
    <s v="DevOps"/>
    <s v="HCPAW-FY14 Invest"/>
    <n v="11958"/>
    <s v="Backfill for HCP sustaining into DevOps role."/>
    <d v="2014-06-16T00:00:00"/>
    <s v="HDS"/>
    <s v="Nate Gershaneck"/>
  </r>
  <r>
    <d v="2014-07-25T10:42:25"/>
    <x v="36"/>
    <x v="6"/>
    <s v="HCP-AW"/>
    <x v="2"/>
    <s v="P4"/>
    <x v="0"/>
    <s v="Dev"/>
    <m/>
    <m/>
    <m/>
    <m/>
    <m/>
    <m/>
  </r>
  <r>
    <d v="2014-07-25T10:47:15"/>
    <x v="37"/>
    <x v="8"/>
    <s v="HCP"/>
    <x v="7"/>
    <s v="M3"/>
    <x v="0"/>
    <s v="Dev"/>
    <m/>
    <m/>
    <m/>
    <m/>
    <m/>
    <m/>
  </r>
  <r>
    <d v="2014-07-25T10:38:48"/>
    <x v="38"/>
    <x v="0"/>
    <s v="HCP-AW"/>
    <x v="2"/>
    <s v="P4"/>
    <x v="0"/>
    <s v="Dev"/>
    <m/>
    <m/>
    <m/>
    <m/>
    <m/>
    <m/>
  </r>
  <r>
    <d v="2014-07-25T10:49:21"/>
    <x v="39"/>
    <x v="8"/>
    <s v="HCP"/>
    <x v="2"/>
    <s v="P4"/>
    <x v="0"/>
    <s v="Dev"/>
    <m/>
    <m/>
    <m/>
    <m/>
    <m/>
    <m/>
  </r>
  <r>
    <d v="2014-07-25T10:57:19"/>
    <x v="40"/>
    <x v="5"/>
    <s v="Cross"/>
    <x v="11"/>
    <s v="S1"/>
    <x v="1"/>
    <s v="Admin"/>
    <m/>
    <m/>
    <s v="Replacing Hannah."/>
    <d v="2014-06-30T00:00:00"/>
    <s v="Insight Global"/>
    <m/>
  </r>
  <r>
    <d v="2014-07-25T10:49:55"/>
    <x v="41"/>
    <x v="3"/>
    <s v="HCP"/>
    <x v="12"/>
    <s v="M4"/>
    <x v="0"/>
    <s v="Lead"/>
    <m/>
    <m/>
    <m/>
    <m/>
    <m/>
    <m/>
  </r>
  <r>
    <d v="2014-07-25T10:40:10"/>
    <x v="42"/>
    <x v="8"/>
    <s v="HCP-AW"/>
    <x v="13"/>
    <s v="M2"/>
    <x v="0"/>
    <s v="Dev"/>
    <m/>
    <m/>
    <m/>
    <m/>
    <m/>
    <m/>
  </r>
  <r>
    <d v="2014-07-25T10:42:33"/>
    <x v="43"/>
    <x v="6"/>
    <s v="HCP-AW"/>
    <x v="2"/>
    <s v="P4"/>
    <x v="0"/>
    <s v="Characterization"/>
    <m/>
    <m/>
    <m/>
    <m/>
    <m/>
    <m/>
  </r>
  <r>
    <d v="2014-07-25T10:41:29"/>
    <x v="44"/>
    <x v="8"/>
    <s v="HCP-AW"/>
    <x v="9"/>
    <s v="P1"/>
    <x v="0"/>
    <s v="Characterization"/>
    <m/>
    <m/>
    <m/>
    <m/>
    <m/>
    <m/>
  </r>
  <r>
    <d v="2014-07-25T11:14:21"/>
    <x v="45"/>
    <x v="8"/>
    <s v="HCP-AW"/>
    <x v="5"/>
    <s v="P1"/>
    <x v="0"/>
    <s v="QA"/>
    <m/>
    <m/>
    <m/>
    <m/>
    <m/>
    <m/>
  </r>
  <r>
    <d v="2014-07-25T10:41:35"/>
    <x v="46"/>
    <x v="8"/>
    <s v="HCP-AW"/>
    <x v="0"/>
    <s v="P2"/>
    <x v="1"/>
    <s v="Dev"/>
    <s v="HCPAW-FY14 Invest"/>
    <n v="11954"/>
    <s v=" Zero Chaos opened req 012176 for their tracking. Need final start date."/>
    <d v="2014-04-21T00:00:00"/>
    <s v="HDS"/>
    <s v="Mary LaRousse"/>
  </r>
  <r>
    <d v="2014-07-25T10:52:17"/>
    <x v="47"/>
    <x v="3"/>
    <s v="HCP"/>
    <x v="7"/>
    <s v="M3"/>
    <x v="0"/>
    <s v="PO"/>
    <m/>
    <m/>
    <m/>
    <m/>
    <m/>
    <m/>
  </r>
  <r>
    <d v="2014-07-25T10:42:10"/>
    <x v="48"/>
    <x v="1"/>
    <s v="Tech"/>
    <x v="1"/>
    <s v="M5"/>
    <x v="0"/>
    <s v="Lead"/>
    <m/>
    <m/>
    <m/>
    <m/>
    <m/>
    <m/>
  </r>
  <r>
    <d v="2014-07-25T10:33:49"/>
    <x v="49"/>
    <x v="5"/>
    <s v="HCP (Rhino)"/>
    <x v="14"/>
    <s v="P6"/>
    <x v="0"/>
    <s v="PO"/>
    <m/>
    <m/>
    <m/>
    <m/>
    <m/>
    <m/>
  </r>
  <r>
    <d v="2014-07-25T11:14:24"/>
    <x v="50"/>
    <x v="2"/>
    <s v="HCP (Rhino)"/>
    <x v="5"/>
    <s v="P1"/>
    <x v="1"/>
    <s v="QA"/>
    <m/>
    <m/>
    <m/>
    <m/>
    <m/>
    <m/>
  </r>
  <r>
    <d v="2014-07-25T10:49:26"/>
    <x v="51"/>
    <x v="8"/>
    <s v="HCP"/>
    <x v="2"/>
    <s v="P4"/>
    <x v="0"/>
    <s v="Dev"/>
    <m/>
    <m/>
    <m/>
    <m/>
    <m/>
    <m/>
  </r>
  <r>
    <d v="2014-07-25T10:51:33"/>
    <x v="52"/>
    <x v="9"/>
    <s v="HCP-AW"/>
    <x v="2"/>
    <s v="P4"/>
    <x v="0"/>
    <s v="Dev"/>
    <m/>
    <m/>
    <m/>
    <m/>
    <m/>
    <m/>
  </r>
  <r>
    <d v="2014-07-25T10:52:57"/>
    <x v="53"/>
    <x v="10"/>
    <s v="HCP (Rhino)"/>
    <x v="4"/>
    <s v="P3"/>
    <x v="0"/>
    <s v="Dev"/>
    <m/>
    <m/>
    <m/>
    <m/>
    <m/>
    <m/>
  </r>
  <r>
    <d v="2014-07-25T10:57:35"/>
    <x v="54"/>
    <x v="3"/>
    <s v="Cross"/>
    <x v="15"/>
    <s v="S2"/>
    <x v="0"/>
    <s v="Admin"/>
    <m/>
    <m/>
    <m/>
    <m/>
    <m/>
    <m/>
  </r>
  <r>
    <d v="2014-07-25T10:45:51"/>
    <x v="55"/>
    <x v="2"/>
    <s v="HCP (Rhino)"/>
    <x v="0"/>
    <s v="P2"/>
    <x v="0"/>
    <s v="Dev"/>
    <m/>
    <m/>
    <m/>
    <m/>
    <m/>
    <m/>
  </r>
  <r>
    <d v="2014-07-25T10:42:42"/>
    <x v="56"/>
    <x v="6"/>
    <s v="HCP-AW"/>
    <x v="6"/>
    <s v="P5"/>
    <x v="0"/>
    <s v="PO"/>
    <m/>
    <m/>
    <m/>
    <m/>
    <m/>
    <m/>
  </r>
  <r>
    <d v="2014-07-25T10:45:13"/>
    <x v="57"/>
    <x v="8"/>
    <s v="HCP (Rhino)"/>
    <x v="7"/>
    <s v="M3"/>
    <x v="0"/>
    <s v="Auto"/>
    <m/>
    <m/>
    <m/>
    <m/>
    <m/>
    <m/>
  </r>
  <r>
    <d v="2014-07-25T10:42:47"/>
    <x v="58"/>
    <x v="6"/>
    <s v="HCP-AW"/>
    <x v="2"/>
    <s v="P4"/>
    <x v="0"/>
    <s v="Characterization"/>
    <m/>
    <m/>
    <m/>
    <m/>
    <m/>
    <m/>
  </r>
  <r>
    <d v="2014-07-25T11:14:28"/>
    <x v="59"/>
    <x v="3"/>
    <s v="HCP-AW"/>
    <x v="16"/>
    <s v="P5"/>
    <x v="0"/>
    <s v="QA"/>
    <s v="HCPAW-FY14 Invest"/>
    <n v="11944"/>
    <s v="Need to uplevel to P5."/>
    <d v="2014-05-06T00:00:00"/>
    <s v="HDS"/>
    <s v="John Burnham - not eligible"/>
  </r>
  <r>
    <d v="2014-07-25T10:36:55"/>
    <x v="60"/>
    <x v="3"/>
    <s v="HCP-AW"/>
    <x v="4"/>
    <s v="P3"/>
    <x v="0"/>
    <s v="Auto"/>
    <m/>
    <m/>
    <m/>
    <m/>
    <m/>
    <m/>
  </r>
  <r>
    <d v="2014-07-25T10:39:56"/>
    <x v="61"/>
    <x v="1"/>
    <s v="HCP (Rhino)"/>
    <x v="1"/>
    <s v="M5"/>
    <x v="0"/>
    <s v="Lead"/>
    <m/>
    <m/>
    <m/>
    <m/>
    <m/>
    <m/>
  </r>
  <r>
    <d v="2014-07-25T10:37:01"/>
    <x v="62"/>
    <x v="3"/>
    <s v="HCP-AW"/>
    <x v="2"/>
    <s v="P4"/>
    <x v="1"/>
    <s v="Dev"/>
    <s v="HCPAW-FY14 Invest"/>
    <n v="11942"/>
    <s v="Zero Chaos opened req 011979 for their tracking of this."/>
    <d v="2014-03-05T00:00:00"/>
    <s v="HDS"/>
    <s v="Dave Pinkney - not eligible"/>
  </r>
  <r>
    <d v="2014-07-25T10:42:54"/>
    <x v="63"/>
    <x v="6"/>
    <s v="HCP-AW"/>
    <x v="6"/>
    <s v="P5"/>
    <x v="0"/>
    <s v="PO"/>
    <m/>
    <m/>
    <m/>
    <m/>
    <m/>
    <m/>
  </r>
  <r>
    <d v="2014-07-25T10:50:37"/>
    <x v="64"/>
    <x v="4"/>
    <s v="HCP (Rhino)"/>
    <x v="2"/>
    <s v="P4"/>
    <x v="0"/>
    <s v="Dev"/>
    <m/>
    <m/>
    <m/>
    <m/>
    <m/>
    <m/>
  </r>
  <r>
    <d v="2014-07-25T10:45:56"/>
    <x v="65"/>
    <x v="2"/>
    <s v="HCP"/>
    <x v="9"/>
    <s v="P1"/>
    <x v="1"/>
    <s v="Sustaining"/>
    <m/>
    <m/>
    <m/>
    <m/>
    <m/>
    <m/>
  </r>
  <r>
    <d v="2014-07-25T11:14:33"/>
    <x v="66"/>
    <x v="4"/>
    <s v="HCP"/>
    <x v="3"/>
    <s v="P4"/>
    <x v="0"/>
    <s v="QA"/>
    <m/>
    <m/>
    <m/>
    <m/>
    <m/>
    <m/>
  </r>
  <r>
    <d v="2014-07-25T10:57:54"/>
    <x v="67"/>
    <x v="9"/>
    <s v="Cross"/>
    <x v="0"/>
    <s v="P2"/>
    <x v="0"/>
    <s v="DevOps"/>
    <m/>
    <m/>
    <s v="JeffB backfill."/>
    <d v="2014-03-03T00:00:00"/>
    <s v="Referral"/>
    <m/>
  </r>
  <r>
    <d v="2014-07-25T10:53:04"/>
    <x v="68"/>
    <x v="10"/>
    <s v="HCP"/>
    <x v="2"/>
    <s v="P4"/>
    <x v="0"/>
    <s v="Dev"/>
    <m/>
    <m/>
    <m/>
    <m/>
    <m/>
    <m/>
  </r>
  <r>
    <d v="2014-07-25T10:43:00"/>
    <x v="69"/>
    <x v="6"/>
    <s v="Tech"/>
    <x v="6"/>
    <s v="P5"/>
    <x v="0"/>
    <s v="Tech"/>
    <m/>
    <m/>
    <m/>
    <m/>
    <m/>
    <m/>
  </r>
  <r>
    <d v="2014-07-25T10:39:01"/>
    <x v="70"/>
    <x v="0"/>
    <s v="HCP-AW"/>
    <x v="2"/>
    <s v="P4"/>
    <x v="0"/>
    <s v="UI"/>
    <m/>
    <m/>
    <m/>
    <m/>
    <m/>
    <m/>
  </r>
  <r>
    <d v="2014-07-25T10:53:09"/>
    <x v="71"/>
    <x v="10"/>
    <s v="HCP"/>
    <x v="9"/>
    <s v="P1"/>
    <x v="0"/>
    <s v="Sustaining"/>
    <m/>
    <m/>
    <s v="Moved to Sustaining 6/30/14 or so."/>
    <m/>
    <m/>
    <m/>
  </r>
  <r>
    <d v="2014-07-25T10:53:12"/>
    <x v="72"/>
    <x v="10"/>
    <s v="HCP"/>
    <x v="2"/>
    <s v="P4"/>
    <x v="0"/>
    <s v="Characterization"/>
    <m/>
    <m/>
    <m/>
    <m/>
    <m/>
    <m/>
  </r>
  <r>
    <d v="2014-07-25T10:47:58"/>
    <x v="73"/>
    <x v="7"/>
    <s v="HCP (Rhino)"/>
    <x v="2"/>
    <s v="P4"/>
    <x v="0"/>
    <s v="Dev"/>
    <m/>
    <m/>
    <m/>
    <m/>
    <m/>
    <m/>
  </r>
  <r>
    <d v="2014-07-25T10:58:02"/>
    <x v="74"/>
    <x v="5"/>
    <s v="Cross"/>
    <x v="0"/>
    <s v="P2"/>
    <x v="1"/>
    <s v="DevOps"/>
    <s v="HCP replacement"/>
    <n v="12372"/>
    <s v="HeatherD backfill. "/>
    <m/>
    <m/>
    <m/>
  </r>
  <r>
    <d v="2014-07-25T10:33:49"/>
    <x v="74"/>
    <x v="5"/>
    <s v="HCP"/>
    <x v="9"/>
    <s v="P1"/>
    <x v="1"/>
    <s v="Auto"/>
    <s v="HCP replacement"/>
    <n v="11952"/>
    <s v="Backfill for Amrut.  Moves to Auto for 3 track model"/>
    <m/>
    <m/>
    <m/>
  </r>
  <r>
    <d v="2014-07-25T10:33:49"/>
    <x v="74"/>
    <x v="5"/>
    <s v="HCP"/>
    <x v="0"/>
    <s v="P2"/>
    <x v="0"/>
    <s v="Auto"/>
    <s v="HCP replacement"/>
    <n v="12373"/>
    <s v="ArunaA backfill (swapped with 013171).  Nathan Jellis"/>
    <m/>
    <m/>
    <m/>
  </r>
  <r>
    <d v="2014-07-25T10:33:49"/>
    <x v="74"/>
    <x v="5"/>
    <s v="HCP"/>
    <x v="9"/>
    <s v="P1"/>
    <x v="1"/>
    <s v="Auto"/>
    <s v="HCPAW-FY14 Invest Invest"/>
    <n v="11959"/>
    <s v="Backfill for HCP sustaining"/>
    <m/>
    <m/>
    <m/>
  </r>
  <r>
    <d v="2014-07-25T10:33:49"/>
    <x v="74"/>
    <x v="5"/>
    <s v="HCP"/>
    <x v="4"/>
    <s v="P3"/>
    <x v="1"/>
    <s v="Characterization"/>
    <s v="HCP replacement"/>
    <n v="13172"/>
    <s v="Backfill for Brian O'Halloran.  Last day 7/3/2014.  Confirm approval"/>
    <m/>
    <m/>
    <m/>
  </r>
  <r>
    <d v="2014-07-25T10:33:49"/>
    <x v="74"/>
    <x v="5"/>
    <s v="HCP"/>
    <x v="4"/>
    <s v="P3"/>
    <x v="0"/>
    <s v="Dev"/>
    <s v="HCP replacement"/>
    <m/>
    <s v="Backfill for BenI."/>
    <m/>
    <m/>
    <m/>
  </r>
  <r>
    <d v="2014-07-25T10:33:49"/>
    <x v="74"/>
    <x v="5"/>
    <s v="HCP"/>
    <x v="0"/>
    <s v="P2"/>
    <x v="1"/>
    <s v="Dev"/>
    <s v="HCP replacement"/>
    <n v="13171"/>
    <s v="Backfill for Cody Lee.  Confirm approval."/>
    <m/>
    <m/>
    <m/>
  </r>
  <r>
    <d v="2014-07-25T10:33:49"/>
    <x v="74"/>
    <x v="5"/>
    <s v="HCP"/>
    <x v="4"/>
    <s v="P3"/>
    <x v="0"/>
    <s v="Sustaining"/>
    <s v="FCS-HCP-FY14 Investment"/>
    <n v="13239"/>
    <s v="Hold until Oct. for FCS budget.  Penny"/>
    <m/>
    <m/>
    <m/>
  </r>
  <r>
    <d v="2014-07-25T10:33:49"/>
    <x v="74"/>
    <x v="5"/>
    <s v="HCP (Rhino)"/>
    <x v="0"/>
    <s v="P2"/>
    <x v="1"/>
    <s v="Auto"/>
    <s v="Rhino replacement"/>
    <n v="12887"/>
    <s v="Backfill for ChrisAl.    Confirm that this is approved."/>
    <m/>
    <m/>
    <m/>
  </r>
  <r>
    <d v="2014-07-25T10:33:49"/>
    <x v="74"/>
    <x v="5"/>
    <s v="HCP (Rhino)"/>
    <x v="4"/>
    <s v="P3"/>
    <x v="0"/>
    <s v="Dev"/>
    <s v="HCP replacement"/>
    <n v="12829"/>
    <s v="Backfill for Kamlesh Nahata."/>
    <m/>
    <m/>
    <m/>
  </r>
  <r>
    <d v="2014-07-25T10:33:49"/>
    <x v="74"/>
    <x v="5"/>
    <s v="HCP (Rhino)"/>
    <x v="4"/>
    <s v="P3"/>
    <x v="0"/>
    <s v="PO"/>
    <s v="HCPAW-FY14 Invest"/>
    <n v="11948"/>
    <s v="Hold until Oct. for AW budget. Backfill PO from CynthiaP.  Hold for MarkB return - ~October."/>
    <m/>
    <m/>
    <m/>
  </r>
  <r>
    <d v="2014-07-25T10:33:49"/>
    <x v="74"/>
    <x v="5"/>
    <s v="HCP"/>
    <x v="0"/>
    <s v="P2"/>
    <x v="0"/>
    <s v="Dev"/>
    <s v="HCP-AW Replacement"/>
    <n v="12706"/>
    <s v="`"/>
    <m/>
    <m/>
    <m/>
  </r>
  <r>
    <d v="2014-07-25T10:33:49"/>
    <x v="74"/>
    <x v="5"/>
    <s v="HCP-AW"/>
    <x v="7"/>
    <s v="M3"/>
    <x v="0"/>
    <s v="Dev"/>
    <s v="HCPAW-FY14 Invest"/>
    <n v="11940"/>
    <s v="Hold until Oct. unless Insu has savings in AW investment budget"/>
    <m/>
    <m/>
    <m/>
  </r>
  <r>
    <d v="2014-07-25T10:33:49"/>
    <x v="74"/>
    <x v="5"/>
    <s v="HCP-AW"/>
    <x v="4"/>
    <s v="P3"/>
    <x v="1"/>
    <s v="PO"/>
    <s v="HCPAW-FY14 Invest"/>
    <n v="11957"/>
    <s v="Hold until Oct for AW budget.   Was characterization."/>
    <m/>
    <m/>
    <m/>
  </r>
  <r>
    <d v="2014-07-25T10:33:49"/>
    <x v="74"/>
    <x v="5"/>
    <s v="HCP-AW"/>
    <x v="4"/>
    <s v="P3"/>
    <x v="0"/>
    <s v="Sustaining"/>
    <s v="FCS-HCP-FY14 Investment"/>
    <n v="13240"/>
    <s v="Hold until Jan. for FCS budget.  Penny"/>
    <m/>
    <m/>
    <m/>
  </r>
  <r>
    <d v="2014-07-25T10:33:49"/>
    <x v="74"/>
    <x v="5"/>
    <s v="HDDS"/>
    <x v="0"/>
    <s v="P2"/>
    <x v="1"/>
    <s v="Auto"/>
    <s v="HDDS/Maldives FY14 Investment"/>
    <n v="13166"/>
    <s v="Penny"/>
    <m/>
    <m/>
    <m/>
  </r>
  <r>
    <d v="2014-07-25T10:33:49"/>
    <x v="74"/>
    <x v="5"/>
    <s v="HDDS"/>
    <x v="2"/>
    <s v="P4"/>
    <x v="0"/>
    <s v="Dev"/>
    <s v="HDDS/Maldives FY14 Investment"/>
    <n v="13120"/>
    <s v="Penny.  Manet"/>
    <m/>
    <m/>
    <m/>
  </r>
  <r>
    <d v="2014-07-25T10:33:49"/>
    <x v="74"/>
    <x v="5"/>
    <s v="HDDS"/>
    <x v="4"/>
    <s v="P3"/>
    <x v="0"/>
    <s v="Dev"/>
    <s v="HDDS/Maldives FY14 Investment"/>
    <n v="13121"/>
    <s v="Penny"/>
    <m/>
    <m/>
    <m/>
  </r>
  <r>
    <d v="2014-07-25T10:33:49"/>
    <x v="74"/>
    <x v="5"/>
    <s v="HDDS"/>
    <x v="6"/>
    <s v="P5"/>
    <x v="0"/>
    <s v="PO"/>
    <s v="HDDS/Maldives FY14 Investment"/>
    <n v="13118"/>
    <s v="Penny.  External facing PO / Tech / Sustaining indvidual"/>
    <m/>
    <m/>
    <m/>
  </r>
  <r>
    <d v="2014-07-25T10:33:49"/>
    <x v="74"/>
    <x v="5"/>
    <s v="HDDS"/>
    <x v="0"/>
    <s v="P2"/>
    <x v="1"/>
    <s v="QA"/>
    <s v="HDDS/Maldives FY14 Investment"/>
    <n v="13167"/>
    <s v="Penny"/>
    <m/>
    <m/>
    <m/>
  </r>
  <r>
    <d v="2014-07-25T10:33:49"/>
    <x v="74"/>
    <x v="5"/>
    <s v="Tech"/>
    <x v="2"/>
    <s v="P4"/>
    <x v="0"/>
    <s v="Tech"/>
    <s v="FCS-HCP-FY14 Investment"/>
    <n v="13237"/>
    <s v="Penny"/>
    <m/>
    <m/>
    <m/>
  </r>
  <r>
    <d v="2014-07-25T10:33:49"/>
    <x v="74"/>
    <x v="5"/>
    <s v="Tech"/>
    <x v="2"/>
    <s v="P4"/>
    <x v="0"/>
    <s v="Tech"/>
    <s v="FCS-HCP-FY14 Investment"/>
    <n v="13238"/>
    <s v="Hold until Oct. for FCS budget.  Penny"/>
    <m/>
    <m/>
    <m/>
  </r>
  <r>
    <d v="2014-07-25T10:33:49"/>
    <x v="74"/>
    <x v="5"/>
    <s v="Tech"/>
    <x v="2"/>
    <s v="P4"/>
    <x v="0"/>
    <s v="Tech"/>
    <s v="HCP replacement"/>
    <n v="12455"/>
    <s v="Backfill for CynthiaP.  Trade or take off the table."/>
    <m/>
    <s v="HDS"/>
    <m/>
  </r>
  <r>
    <d v="2014-07-25T10:37:14"/>
    <x v="75"/>
    <x v="3"/>
    <s v="HCP-AW"/>
    <x v="2"/>
    <s v="P4"/>
    <x v="0"/>
    <s v="Dev"/>
    <m/>
    <m/>
    <m/>
    <m/>
    <m/>
    <m/>
  </r>
  <r>
    <d v="2014-07-25T10:39:14"/>
    <x v="76"/>
    <x v="0"/>
    <s v="HCP-AW"/>
    <x v="0"/>
    <s v="P2"/>
    <x v="0"/>
    <s v="Dev"/>
    <m/>
    <m/>
    <m/>
    <m/>
    <m/>
    <m/>
  </r>
  <r>
    <d v="2014-07-25T10:39:21"/>
    <x v="77"/>
    <x v="0"/>
    <s v="HCP-AW"/>
    <x v="4"/>
    <s v="P3"/>
    <x v="0"/>
    <s v="Auto"/>
    <m/>
    <m/>
    <m/>
    <m/>
    <m/>
    <m/>
  </r>
  <r>
    <d v="2014-07-25T10:58:09"/>
    <x v="78"/>
    <x v="5"/>
    <s v="Cross"/>
    <x v="4"/>
    <s v="P3"/>
    <x v="0"/>
    <s v="DevOps"/>
    <m/>
    <m/>
    <m/>
    <m/>
    <m/>
    <m/>
  </r>
  <r>
    <d v="2014-07-25T11:14:36"/>
    <x v="79"/>
    <x v="3"/>
    <s v="HCP-AW"/>
    <x v="3"/>
    <s v="P4"/>
    <x v="0"/>
    <s v="QA"/>
    <s v="HCPAW-FY14 Invest"/>
    <n v="11956"/>
    <s v="Backfill for JB.  Need start date and formal offer.  Need to bump req from P3 to P4."/>
    <d v="2014-05-06T00:00:00"/>
    <s v="HDS"/>
    <s v="Wayne Chestna"/>
  </r>
  <r>
    <d v="2014-07-25T11:15:06"/>
    <x v="80"/>
    <x v="9"/>
    <s v="HCP"/>
    <x v="5"/>
    <s v="P1"/>
    <x v="0"/>
    <s v="QA"/>
    <m/>
    <m/>
    <m/>
    <m/>
    <m/>
    <m/>
  </r>
  <r>
    <d v="2014-07-25T10:53:21"/>
    <x v="81"/>
    <x v="10"/>
    <s v="HCP"/>
    <x v="4"/>
    <s v="P3"/>
    <x v="0"/>
    <s v="UI"/>
    <m/>
    <m/>
    <m/>
    <m/>
    <m/>
    <m/>
  </r>
  <r>
    <d v="2014-07-25T10:41:48"/>
    <x v="82"/>
    <x v="8"/>
    <s v="HCP-AW"/>
    <x v="0"/>
    <s v="P2"/>
    <x v="0"/>
    <s v="Dev"/>
    <m/>
    <m/>
    <m/>
    <m/>
    <m/>
    <m/>
  </r>
  <r>
    <d v="2014-07-25T10:41:53"/>
    <x v="83"/>
    <x v="8"/>
    <s v="HCP-AW"/>
    <x v="0"/>
    <s v="P2"/>
    <x v="0"/>
    <s v="Dev"/>
    <m/>
    <m/>
    <m/>
    <m/>
    <m/>
    <m/>
  </r>
  <r>
    <d v="2014-07-25T10:49:34"/>
    <x v="84"/>
    <x v="8"/>
    <s v="HCP"/>
    <x v="6"/>
    <s v="P5"/>
    <x v="0"/>
    <s v="Dev"/>
    <m/>
    <m/>
    <m/>
    <m/>
    <m/>
    <m/>
  </r>
  <r>
    <m/>
    <x v="85"/>
    <x v="5"/>
    <m/>
    <x v="17"/>
    <m/>
    <x v="2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8">
  <r>
    <x v="0"/>
    <s v="Liang, Candy"/>
    <x v="0"/>
    <x v="0"/>
    <x v="0"/>
    <x v="0"/>
    <x v="0"/>
    <s v="HCPAW-FY14 Invest"/>
    <n v="11958"/>
    <s v="Backfill for HCP sustaining into DevOps role."/>
    <d v="2014-06-16T00:00:00"/>
    <s v="HDS"/>
    <s v="Nate Gershaneck"/>
  </r>
  <r>
    <x v="1"/>
    <s v="Anderson, Vic"/>
    <x v="0"/>
    <x v="1"/>
    <x v="1"/>
    <x v="1"/>
    <x v="1"/>
    <m/>
    <m/>
    <s v="Replacing Hannah."/>
    <d v="2014-06-30T00:00:00"/>
    <s v="Insight Global"/>
    <m/>
  </r>
  <r>
    <x v="2"/>
    <s v="Anderson, Vic"/>
    <x v="0"/>
    <x v="2"/>
    <x v="2"/>
    <x v="0"/>
    <x v="1"/>
    <m/>
    <m/>
    <m/>
    <m/>
    <m/>
    <m/>
  </r>
  <r>
    <x v="3"/>
    <s v="Chestna, Wayne"/>
    <x v="0"/>
    <x v="0"/>
    <x v="0"/>
    <x v="0"/>
    <x v="0"/>
    <m/>
    <m/>
    <s v="JeffB backfill."/>
    <d v="2014-03-03T00:00:00"/>
    <s v="Referral"/>
    <m/>
  </r>
  <r>
    <x v="4"/>
    <m/>
    <x v="0"/>
    <x v="0"/>
    <x v="0"/>
    <x v="1"/>
    <x v="0"/>
    <s v="HCP replacement"/>
    <n v="12372"/>
    <s v="HeatherD backfill. "/>
    <m/>
    <m/>
    <m/>
  </r>
  <r>
    <x v="5"/>
    <s v="Burnham, John"/>
    <x v="0"/>
    <x v="3"/>
    <x v="3"/>
    <x v="0"/>
    <x v="0"/>
    <m/>
    <m/>
    <m/>
    <m/>
    <m/>
    <m/>
  </r>
  <r>
    <x v="6"/>
    <m/>
    <x v="1"/>
    <x v="4"/>
    <x v="4"/>
    <x v="0"/>
    <x v="2"/>
    <s v="HCPAW-FY14 Invest"/>
    <n v="11940"/>
    <s v="Hold until Oct. unless Insu has savings in AW investment budget"/>
    <m/>
    <m/>
    <m/>
  </r>
  <r>
    <x v="7"/>
    <m/>
    <x v="1"/>
    <x v="5"/>
    <x v="5"/>
    <x v="1"/>
    <x v="2"/>
    <s v="HCP replacement"/>
    <n v="11952"/>
    <s v="Backfill for Amrut. "/>
    <m/>
    <m/>
    <m/>
  </r>
  <r>
    <x v="8"/>
    <m/>
    <x v="1"/>
    <x v="3"/>
    <x v="3"/>
    <x v="0"/>
    <x v="2"/>
    <s v="FCS-HCP-FY14 Investment"/>
    <n v="13240"/>
    <s v="Hold until Jan. for FCS budget.  Penny"/>
    <m/>
    <m/>
    <m/>
  </r>
  <r>
    <x v="9"/>
    <s v="Isherwood, Ben"/>
    <x v="2"/>
    <x v="3"/>
    <x v="3"/>
    <x v="0"/>
    <x v="3"/>
    <m/>
    <m/>
    <m/>
    <m/>
    <m/>
    <m/>
  </r>
  <r>
    <x v="10"/>
    <s v="Lin, Wayzen"/>
    <x v="2"/>
    <x v="6"/>
    <x v="6"/>
    <x v="0"/>
    <x v="4"/>
    <s v="HCP replacement"/>
    <n v="11960"/>
    <s v="Backfill for JesseD.  4/14 start date"/>
    <d v="2014-04-14T00:00:00"/>
    <s v="HDS"/>
    <s v="Sameer Apte"/>
  </r>
  <r>
    <x v="11"/>
    <s v="Isherwood, Ben"/>
    <x v="2"/>
    <x v="0"/>
    <x v="0"/>
    <x v="0"/>
    <x v="5"/>
    <m/>
    <m/>
    <m/>
    <m/>
    <m/>
    <m/>
  </r>
  <r>
    <x v="12"/>
    <s v="Liang, Candy"/>
    <x v="2"/>
    <x v="6"/>
    <x v="6"/>
    <x v="1"/>
    <x v="6"/>
    <m/>
    <m/>
    <m/>
    <m/>
    <m/>
    <m/>
  </r>
  <r>
    <x v="13"/>
    <s v="Liang, Candy"/>
    <x v="2"/>
    <x v="5"/>
    <x v="5"/>
    <x v="1"/>
    <x v="7"/>
    <m/>
    <m/>
    <s v="Replaced Krista Canwell."/>
    <d v="2014-07-21T00:00:00"/>
    <s v="ClearPoint"/>
    <m/>
  </r>
  <r>
    <x v="14"/>
    <s v="Isherwood, Ben"/>
    <x v="2"/>
    <x v="0"/>
    <x v="0"/>
    <x v="0"/>
    <x v="6"/>
    <s v="HCPAW-FY14 Invest"/>
    <n v="11951"/>
    <s v="Backfill for ScottY transition to dev.  Was a DEV req originally."/>
    <d v="2014-05-12T00:00:00"/>
    <s v="HDS"/>
    <s v="Nick DeRoo"/>
  </r>
  <r>
    <x v="15"/>
    <s v="Chestna, Wayne"/>
    <x v="2"/>
    <x v="7"/>
    <x v="3"/>
    <x v="1"/>
    <x v="8"/>
    <s v="HCPAW-FY14 Invest"/>
    <n v="11955"/>
    <s v="Went to HCP instead of AW. Senior HCP QA goes to AW after Ironman."/>
    <d v="2014-03-17T00:00:00"/>
    <s v="NetPolarity"/>
    <m/>
  </r>
  <r>
    <x v="16"/>
    <s v="Isherwood, Ben"/>
    <x v="2"/>
    <x v="0"/>
    <x v="0"/>
    <x v="0"/>
    <x v="3"/>
    <m/>
    <m/>
    <m/>
    <m/>
    <m/>
    <m/>
  </r>
  <r>
    <x v="17"/>
    <s v="Kohli, Nishant"/>
    <x v="2"/>
    <x v="3"/>
    <x v="3"/>
    <x v="0"/>
    <x v="3"/>
    <m/>
    <m/>
    <m/>
    <m/>
    <m/>
    <m/>
  </r>
  <r>
    <x v="18"/>
    <s v="Lin, Wayzen"/>
    <x v="2"/>
    <x v="6"/>
    <x v="6"/>
    <x v="0"/>
    <x v="6"/>
    <m/>
    <m/>
    <m/>
    <m/>
    <m/>
    <m/>
  </r>
  <r>
    <x v="19"/>
    <s v="Pinkney, Dave"/>
    <x v="2"/>
    <x v="0"/>
    <x v="0"/>
    <x v="0"/>
    <x v="6"/>
    <s v="HCP replacement"/>
    <n v="12373"/>
    <s v="ArunaA backfill (swapped with 013171)."/>
    <d v="2014-08-14T00:00:00"/>
    <s v="HDS with fee to Xoriant"/>
    <m/>
  </r>
  <r>
    <x v="20"/>
    <s v="Pinkney, Dave"/>
    <x v="2"/>
    <x v="6"/>
    <x v="6"/>
    <x v="0"/>
    <x v="3"/>
    <m/>
    <m/>
    <m/>
    <m/>
    <m/>
    <m/>
  </r>
  <r>
    <x v="21"/>
    <s v="Anderson, Vic"/>
    <x v="2"/>
    <x v="8"/>
    <x v="7"/>
    <x v="0"/>
    <x v="9"/>
    <m/>
    <m/>
    <m/>
    <m/>
    <m/>
    <m/>
  </r>
  <r>
    <x v="22"/>
    <s v="Anderson, Vic"/>
    <x v="2"/>
    <x v="4"/>
    <x v="4"/>
    <x v="0"/>
    <x v="4"/>
    <m/>
    <m/>
    <m/>
    <m/>
    <m/>
    <m/>
  </r>
  <r>
    <x v="23"/>
    <s v="Pinkney, Dave"/>
    <x v="2"/>
    <x v="6"/>
    <x v="6"/>
    <x v="0"/>
    <x v="3"/>
    <m/>
    <m/>
    <m/>
    <m/>
    <m/>
    <m/>
  </r>
  <r>
    <x v="24"/>
    <s v="Pannese, Donald"/>
    <x v="2"/>
    <x v="5"/>
    <x v="5"/>
    <x v="1"/>
    <x v="5"/>
    <m/>
    <m/>
    <m/>
    <m/>
    <m/>
    <m/>
  </r>
  <r>
    <x v="25"/>
    <s v="Kohli, Nishant"/>
    <x v="2"/>
    <x v="9"/>
    <x v="6"/>
    <x v="0"/>
    <x v="8"/>
    <m/>
    <m/>
    <m/>
    <m/>
    <m/>
    <m/>
  </r>
  <r>
    <x v="26"/>
    <s v="Liang, Candy"/>
    <x v="2"/>
    <x v="6"/>
    <x v="6"/>
    <x v="0"/>
    <x v="3"/>
    <m/>
    <m/>
    <m/>
    <m/>
    <m/>
    <m/>
  </r>
  <r>
    <x v="27"/>
    <s v="Liang, Candy"/>
    <x v="2"/>
    <x v="5"/>
    <x v="5"/>
    <x v="0"/>
    <x v="5"/>
    <m/>
    <m/>
    <s v="Moved to Sustaining 6/30/14 or so."/>
    <m/>
    <m/>
    <m/>
  </r>
  <r>
    <x v="28"/>
    <s v="Liang, Candy"/>
    <x v="2"/>
    <x v="6"/>
    <x v="6"/>
    <x v="0"/>
    <x v="10"/>
    <m/>
    <m/>
    <m/>
    <m/>
    <m/>
    <m/>
  </r>
  <r>
    <x v="29"/>
    <m/>
    <x v="2"/>
    <x v="0"/>
    <x v="0"/>
    <x v="0"/>
    <x v="3"/>
    <s v="HCP-AW Replacement"/>
    <n v="12706"/>
    <s v="Replacement for Ankit Patel"/>
    <m/>
    <m/>
    <m/>
  </r>
  <r>
    <x v="30"/>
    <m/>
    <x v="2"/>
    <x v="6"/>
    <x v="6"/>
    <x v="0"/>
    <x v="4"/>
    <s v="HCP replacement"/>
    <n v="12455"/>
    <s v="Backfill for CynthiaP"/>
    <m/>
    <s v="HDS"/>
    <m/>
  </r>
  <r>
    <x v="31"/>
    <m/>
    <x v="2"/>
    <x v="0"/>
    <x v="0"/>
    <x v="0"/>
    <x v="6"/>
    <s v="HCP replacement"/>
    <n v="13171"/>
    <s v="Backfill for Cody Lee."/>
    <m/>
    <m/>
    <m/>
  </r>
  <r>
    <x v="32"/>
    <m/>
    <x v="2"/>
    <x v="5"/>
    <x v="5"/>
    <x v="1"/>
    <x v="6"/>
    <s v="HCPAW-FY14 Invest Invest"/>
    <n v="11959"/>
    <m/>
    <m/>
    <m/>
    <m/>
  </r>
  <r>
    <x v="33"/>
    <m/>
    <x v="2"/>
    <x v="3"/>
    <x v="3"/>
    <x v="1"/>
    <x v="10"/>
    <s v="HCP replacement"/>
    <n v="13172"/>
    <s v="Backfill for Brian O'Halloran."/>
    <m/>
    <m/>
    <m/>
  </r>
  <r>
    <x v="34"/>
    <m/>
    <x v="2"/>
    <x v="6"/>
    <x v="6"/>
    <x v="0"/>
    <x v="3"/>
    <s v="HCP replacement"/>
    <m/>
    <s v="Backfill for BenI.  Need to open."/>
    <m/>
    <m/>
    <m/>
  </r>
  <r>
    <x v="35"/>
    <m/>
    <x v="2"/>
    <x v="0"/>
    <x v="0"/>
    <x v="1"/>
    <x v="5"/>
    <s v="HCP replacement"/>
    <m/>
    <s v="Backfill for EddieR.  Need to open on 8/1"/>
    <m/>
    <m/>
    <m/>
  </r>
  <r>
    <x v="36"/>
    <m/>
    <x v="2"/>
    <x v="3"/>
    <x v="3"/>
    <x v="0"/>
    <x v="5"/>
    <s v="FCS-HCP-FY14 Investment"/>
    <n v="13239"/>
    <s v="Hold until Oct. for FCS budget.  Penny"/>
    <m/>
    <m/>
    <m/>
  </r>
  <r>
    <x v="37"/>
    <s v="Chestna, Wayne"/>
    <x v="2"/>
    <x v="10"/>
    <x v="5"/>
    <x v="0"/>
    <x v="8"/>
    <m/>
    <m/>
    <m/>
    <m/>
    <m/>
    <m/>
  </r>
  <r>
    <x v="38"/>
    <s v="Liang, Candy"/>
    <x v="2"/>
    <x v="3"/>
    <x v="3"/>
    <x v="0"/>
    <x v="11"/>
    <m/>
    <m/>
    <m/>
    <m/>
    <m/>
    <m/>
  </r>
  <r>
    <x v="39"/>
    <s v="Pinkney, Dave"/>
    <x v="2"/>
    <x v="11"/>
    <x v="8"/>
    <x v="0"/>
    <x v="3"/>
    <m/>
    <m/>
    <m/>
    <m/>
    <m/>
    <m/>
  </r>
  <r>
    <x v="40"/>
    <s v="Pannese, Donald"/>
    <x v="3"/>
    <x v="9"/>
    <x v="6"/>
    <x v="0"/>
    <x v="8"/>
    <m/>
    <m/>
    <m/>
    <m/>
    <m/>
    <m/>
  </r>
  <r>
    <x v="41"/>
    <s v="Kohli, Nishant"/>
    <x v="3"/>
    <x v="6"/>
    <x v="6"/>
    <x v="0"/>
    <x v="10"/>
    <m/>
    <m/>
    <m/>
    <m/>
    <m/>
    <m/>
  </r>
  <r>
    <x v="42"/>
    <s v="Kohli, Nishant"/>
    <x v="3"/>
    <x v="11"/>
    <x v="8"/>
    <x v="0"/>
    <x v="10"/>
    <m/>
    <m/>
    <m/>
    <m/>
    <m/>
    <m/>
  </r>
  <r>
    <x v="43"/>
    <s v="Kohli, Nishant"/>
    <x v="3"/>
    <x v="4"/>
    <x v="4"/>
    <x v="0"/>
    <x v="8"/>
    <m/>
    <m/>
    <m/>
    <m/>
    <m/>
    <m/>
  </r>
  <r>
    <x v="44"/>
    <s v="Pinkney, Dave"/>
    <x v="3"/>
    <x v="6"/>
    <x v="6"/>
    <x v="0"/>
    <x v="3"/>
    <m/>
    <m/>
    <m/>
    <m/>
    <m/>
    <m/>
  </r>
  <r>
    <x v="45"/>
    <s v="Pinkney, Dave"/>
    <x v="3"/>
    <x v="6"/>
    <x v="6"/>
    <x v="0"/>
    <x v="3"/>
    <m/>
    <m/>
    <m/>
    <m/>
    <m/>
    <m/>
  </r>
  <r>
    <x v="46"/>
    <s v="Kohli, Nishant"/>
    <x v="3"/>
    <x v="6"/>
    <x v="6"/>
    <x v="0"/>
    <x v="7"/>
    <m/>
    <m/>
    <m/>
    <m/>
    <m/>
    <m/>
  </r>
  <r>
    <x v="47"/>
    <s v="Chestna, Wayne"/>
    <x v="3"/>
    <x v="5"/>
    <x v="5"/>
    <x v="1"/>
    <x v="6"/>
    <m/>
    <n v="12898"/>
    <s v="Converting to P1 FTE. "/>
    <m/>
    <m/>
    <m/>
  </r>
  <r>
    <x v="48"/>
    <s v="Pannese, Donald"/>
    <x v="3"/>
    <x v="5"/>
    <x v="5"/>
    <x v="1"/>
    <x v="6"/>
    <m/>
    <m/>
    <m/>
    <m/>
    <m/>
    <m/>
  </r>
  <r>
    <x v="49"/>
    <s v="Chestna, Wayne"/>
    <x v="3"/>
    <x v="9"/>
    <x v="6"/>
    <x v="0"/>
    <x v="8"/>
    <m/>
    <m/>
    <m/>
    <m/>
    <m/>
    <m/>
  </r>
  <r>
    <x v="50"/>
    <s v="Isherwood, Ben"/>
    <x v="3"/>
    <x v="3"/>
    <x v="3"/>
    <x v="0"/>
    <x v="3"/>
    <m/>
    <m/>
    <m/>
    <m/>
    <m/>
    <m/>
  </r>
  <r>
    <x v="51"/>
    <s v="Rogers, Rich"/>
    <x v="3"/>
    <x v="12"/>
    <x v="9"/>
    <x v="0"/>
    <x v="4"/>
    <m/>
    <m/>
    <m/>
    <m/>
    <m/>
    <m/>
  </r>
  <r>
    <x v="52"/>
    <s v="Pannese, Donald"/>
    <x v="3"/>
    <x v="10"/>
    <x v="5"/>
    <x v="1"/>
    <x v="8"/>
    <m/>
    <m/>
    <m/>
    <m/>
    <m/>
    <m/>
  </r>
  <r>
    <x v="53"/>
    <s v="Liang, Candy"/>
    <x v="3"/>
    <x v="6"/>
    <x v="6"/>
    <x v="0"/>
    <x v="3"/>
    <m/>
    <m/>
    <m/>
    <m/>
    <m/>
    <m/>
  </r>
  <r>
    <x v="54"/>
    <s v="Pannese, Donald"/>
    <x v="3"/>
    <x v="0"/>
    <x v="0"/>
    <x v="0"/>
    <x v="3"/>
    <m/>
    <m/>
    <m/>
    <m/>
    <m/>
    <m/>
  </r>
  <r>
    <x v="55"/>
    <s v="Pinkney, Dave"/>
    <x v="3"/>
    <x v="4"/>
    <x v="4"/>
    <x v="0"/>
    <x v="6"/>
    <m/>
    <m/>
    <m/>
    <m/>
    <m/>
    <m/>
  </r>
  <r>
    <x v="56"/>
    <s v="Rogers, Rich"/>
    <x v="3"/>
    <x v="13"/>
    <x v="10"/>
    <x v="0"/>
    <x v="9"/>
    <m/>
    <m/>
    <m/>
    <m/>
    <m/>
    <m/>
  </r>
  <r>
    <x v="57"/>
    <s v="Kohli, Nishant"/>
    <x v="3"/>
    <x v="6"/>
    <x v="6"/>
    <x v="0"/>
    <x v="3"/>
    <m/>
    <m/>
    <m/>
    <m/>
    <m/>
    <m/>
  </r>
  <r>
    <x v="58"/>
    <s v="Isherwood, Ben"/>
    <x v="3"/>
    <x v="6"/>
    <x v="6"/>
    <x v="0"/>
    <x v="3"/>
    <m/>
    <m/>
    <m/>
    <m/>
    <m/>
    <m/>
  </r>
  <r>
    <x v="59"/>
    <m/>
    <x v="3"/>
    <x v="3"/>
    <x v="3"/>
    <x v="0"/>
    <x v="3"/>
    <s v="HCP replacement"/>
    <n v="12829"/>
    <s v="Backfill for Kamlesh Nahata."/>
    <m/>
    <m/>
    <m/>
  </r>
  <r>
    <x v="60"/>
    <m/>
    <x v="3"/>
    <x v="3"/>
    <x v="3"/>
    <x v="0"/>
    <x v="4"/>
    <s v="HCPAW-FY14 Invest"/>
    <n v="11948"/>
    <s v="Hold until Oct. for AW budget. Backfill PO from CynthiaP.  Hold for MarkB return - ~October."/>
    <m/>
    <m/>
    <m/>
  </r>
  <r>
    <x v="61"/>
    <m/>
    <x v="3"/>
    <x v="0"/>
    <x v="0"/>
    <x v="1"/>
    <x v="6"/>
    <s v="Rhino replacement"/>
    <n v="12887"/>
    <s v="Backfill for ChrisAl."/>
    <m/>
    <m/>
    <m/>
  </r>
  <r>
    <x v="62"/>
    <s v="Burnham, John"/>
    <x v="4"/>
    <x v="0"/>
    <x v="0"/>
    <x v="0"/>
    <x v="3"/>
    <s v=" "/>
    <m/>
    <m/>
    <m/>
    <m/>
    <m/>
  </r>
  <r>
    <x v="63"/>
    <s v="Rogers, Rich"/>
    <x v="4"/>
    <x v="13"/>
    <x v="10"/>
    <x v="0"/>
    <x v="9"/>
    <m/>
    <m/>
    <m/>
    <m/>
    <m/>
    <m/>
  </r>
  <r>
    <x v="64"/>
    <s v="Burnham, John"/>
    <x v="4"/>
    <x v="6"/>
    <x v="6"/>
    <x v="0"/>
    <x v="3"/>
    <m/>
    <m/>
    <m/>
    <m/>
    <m/>
    <m/>
  </r>
  <r>
    <x v="65"/>
    <s v="Anderson, Vic"/>
    <x v="4"/>
    <x v="3"/>
    <x v="3"/>
    <x v="1"/>
    <x v="4"/>
    <s v="HCPAW-FY14 Invest Invest"/>
    <n v="11945"/>
    <s v="Backfill for Thorsten.  ZeroChaos opening req 012250 for their tracking."/>
    <d v="2014-04-07T00:00:00"/>
    <s v="HDS"/>
    <s v="Eric Wilson"/>
  </r>
  <r>
    <x v="66"/>
    <s v="Pfahl, Matt"/>
    <x v="4"/>
    <x v="10"/>
    <x v="5"/>
    <x v="1"/>
    <x v="8"/>
    <s v="HCPAW-FY14 Invest Invest"/>
    <n v="11949"/>
    <s v="Backfill for HCP-AW sustaining."/>
    <d v="2014-06-02T00:00:00"/>
    <s v="NetPolarity"/>
    <m/>
  </r>
  <r>
    <x v="67"/>
    <s v="Lin, Wayzen"/>
    <x v="4"/>
    <x v="6"/>
    <x v="6"/>
    <x v="0"/>
    <x v="3"/>
    <m/>
    <m/>
    <m/>
    <m/>
    <m/>
    <m/>
  </r>
  <r>
    <x v="68"/>
    <s v="Anderson, Vic"/>
    <x v="4"/>
    <x v="6"/>
    <x v="6"/>
    <x v="0"/>
    <x v="3"/>
    <m/>
    <m/>
    <m/>
    <m/>
    <m/>
    <m/>
  </r>
  <r>
    <x v="69"/>
    <s v="Anderson, Vic"/>
    <x v="4"/>
    <x v="4"/>
    <x v="4"/>
    <x v="0"/>
    <x v="8"/>
    <m/>
    <m/>
    <m/>
    <m/>
    <m/>
    <m/>
  </r>
  <r>
    <x v="70"/>
    <s v="Burnham, John"/>
    <x v="4"/>
    <x v="0"/>
    <x v="0"/>
    <x v="0"/>
    <x v="10"/>
    <m/>
    <m/>
    <m/>
    <m/>
    <m/>
    <m/>
  </r>
  <r>
    <x v="71"/>
    <s v="Pfahl, Matt"/>
    <x v="4"/>
    <x v="5"/>
    <x v="5"/>
    <x v="1"/>
    <x v="6"/>
    <s v="HCP replacement"/>
    <n v="13170"/>
    <s v="DaveO backfill, goes to AW (swapped with Frank Fodera)."/>
    <d v="2014-06-23T00:00:00"/>
    <s v="Insight Global"/>
    <m/>
  </r>
  <r>
    <x v="72"/>
    <s v="Pinkney, Dave"/>
    <x v="4"/>
    <x v="14"/>
    <x v="0"/>
    <x v="0"/>
    <x v="7"/>
    <m/>
    <m/>
    <m/>
    <m/>
    <m/>
    <m/>
  </r>
  <r>
    <x v="73"/>
    <s v="Pinkney, Dave"/>
    <x v="4"/>
    <x v="3"/>
    <x v="3"/>
    <x v="0"/>
    <x v="3"/>
    <s v="HCPAW-FY14 Invest"/>
    <n v="11943"/>
    <s v="Start date 4/7/14"/>
    <d v="2014-04-07T00:00:00"/>
    <s v="HDS"/>
    <s v="Kevin Grimaldi"/>
  </r>
  <r>
    <x v="74"/>
    <s v="Burnham, John"/>
    <x v="4"/>
    <x v="15"/>
    <x v="0"/>
    <x v="0"/>
    <x v="8"/>
    <m/>
    <m/>
    <s v="Went to AW 6/30/14."/>
    <m/>
    <m/>
    <m/>
  </r>
  <r>
    <x v="75"/>
    <s v="Pinkney, Dave"/>
    <x v="4"/>
    <x v="5"/>
    <x v="5"/>
    <x v="1"/>
    <x v="6"/>
    <s v="HCPAW-FY14 Invest"/>
    <n v="11947"/>
    <m/>
    <d v="2014-02-24T00:00:00"/>
    <s v="NetPolarity"/>
    <m/>
  </r>
  <r>
    <x v="76"/>
    <s v="Lin, Wayzen"/>
    <x v="4"/>
    <x v="6"/>
    <x v="6"/>
    <x v="0"/>
    <x v="3"/>
    <m/>
    <m/>
    <m/>
    <m/>
    <m/>
    <m/>
  </r>
  <r>
    <x v="77"/>
    <s v="Burnham, John"/>
    <x v="4"/>
    <x v="6"/>
    <x v="6"/>
    <x v="0"/>
    <x v="3"/>
    <m/>
    <m/>
    <m/>
    <m/>
    <m/>
    <m/>
  </r>
  <r>
    <x v="78"/>
    <s v="Pinkney, Dave"/>
    <x v="4"/>
    <x v="16"/>
    <x v="11"/>
    <x v="0"/>
    <x v="3"/>
    <m/>
    <m/>
    <m/>
    <m/>
    <m/>
    <m/>
  </r>
  <r>
    <x v="79"/>
    <s v="Lin, Wayzen"/>
    <x v="4"/>
    <x v="6"/>
    <x v="6"/>
    <x v="0"/>
    <x v="10"/>
    <m/>
    <m/>
    <m/>
    <m/>
    <m/>
    <m/>
  </r>
  <r>
    <x v="80"/>
    <s v="Pinkney, Dave"/>
    <x v="4"/>
    <x v="5"/>
    <x v="5"/>
    <x v="0"/>
    <x v="10"/>
    <m/>
    <m/>
    <m/>
    <m/>
    <m/>
    <m/>
  </r>
  <r>
    <x v="81"/>
    <s v="Pinkney, Dave"/>
    <x v="4"/>
    <x v="15"/>
    <x v="0"/>
    <x v="0"/>
    <x v="8"/>
    <m/>
    <m/>
    <m/>
    <m/>
    <m/>
    <m/>
  </r>
  <r>
    <x v="82"/>
    <s v="Pinkney, Dave"/>
    <x v="4"/>
    <x v="5"/>
    <x v="5"/>
    <x v="1"/>
    <x v="3"/>
    <s v="HCPAW-FY14 Invest"/>
    <n v="11954"/>
    <s v=" Zero Chaos opened req 012176 for their tracking. Need final start date."/>
    <d v="2014-04-21T00:00:00"/>
    <s v="HDS"/>
    <s v="Mary LaRousse"/>
  </r>
  <r>
    <x v="83"/>
    <s v="Lin, Wayzen"/>
    <x v="4"/>
    <x v="11"/>
    <x v="8"/>
    <x v="0"/>
    <x v="4"/>
    <m/>
    <m/>
    <m/>
    <m/>
    <m/>
    <m/>
  </r>
  <r>
    <x v="84"/>
    <s v="Lin, Wayzen"/>
    <x v="4"/>
    <x v="9"/>
    <x v="6"/>
    <x v="0"/>
    <x v="10"/>
    <m/>
    <m/>
    <m/>
    <m/>
    <m/>
    <m/>
  </r>
  <r>
    <x v="85"/>
    <s v="Anderson, Vic"/>
    <x v="4"/>
    <x v="17"/>
    <x v="8"/>
    <x v="0"/>
    <x v="8"/>
    <s v="HCPAW-FY14 Invest"/>
    <n v="11944"/>
    <s v="Need to uplevel to P5."/>
    <d v="2014-05-06T00:00:00"/>
    <s v="HDS"/>
    <s v="John Burnham - not eligible"/>
  </r>
  <r>
    <x v="86"/>
    <s v="Anderson, Vic"/>
    <x v="4"/>
    <x v="3"/>
    <x v="3"/>
    <x v="0"/>
    <x v="6"/>
    <m/>
    <m/>
    <m/>
    <m/>
    <m/>
    <m/>
  </r>
  <r>
    <x v="87"/>
    <s v="Anderson, Vic"/>
    <x v="4"/>
    <x v="6"/>
    <x v="6"/>
    <x v="1"/>
    <x v="3"/>
    <s v="HCPAW-FY14 Invest"/>
    <n v="11942"/>
    <s v="Zero Chaos opened req 011979 for their tracking of this."/>
    <d v="2014-03-05T00:00:00"/>
    <s v="HDS"/>
    <s v="Dave Pinkney - not eligible"/>
  </r>
  <r>
    <x v="88"/>
    <s v="Lin, Wayzen"/>
    <x v="4"/>
    <x v="11"/>
    <x v="8"/>
    <x v="0"/>
    <x v="4"/>
    <m/>
    <m/>
    <m/>
    <m/>
    <m/>
    <m/>
  </r>
  <r>
    <x v="89"/>
    <s v="Burnham, John"/>
    <x v="4"/>
    <x v="6"/>
    <x v="6"/>
    <x v="0"/>
    <x v="11"/>
    <m/>
    <m/>
    <m/>
    <m/>
    <m/>
    <m/>
  </r>
  <r>
    <x v="90"/>
    <m/>
    <x v="4"/>
    <x v="3"/>
    <x v="3"/>
    <x v="1"/>
    <x v="4"/>
    <s v="HCPAW-FY14 Invest"/>
    <n v="11957"/>
    <s v="Hold until Oct for AW budget.   Was characterization."/>
    <m/>
    <m/>
    <m/>
  </r>
  <r>
    <x v="91"/>
    <m/>
    <x v="4"/>
    <x v="0"/>
    <x v="0"/>
    <x v="1"/>
    <x v="6"/>
    <s v="HCP-AW Replacement"/>
    <m/>
    <s v="Backfill for Manet (goes to Auto). Need to open."/>
    <m/>
    <m/>
    <m/>
  </r>
  <r>
    <x v="92"/>
    <s v="Anderson, Vic"/>
    <x v="4"/>
    <x v="6"/>
    <x v="6"/>
    <x v="0"/>
    <x v="3"/>
    <m/>
    <m/>
    <m/>
    <m/>
    <m/>
    <m/>
  </r>
  <r>
    <x v="93"/>
    <s v="Burnham, John"/>
    <x v="4"/>
    <x v="3"/>
    <x v="3"/>
    <x v="0"/>
    <x v="3"/>
    <m/>
    <m/>
    <m/>
    <m/>
    <m/>
    <m/>
  </r>
  <r>
    <x v="94"/>
    <s v="Burnham, John"/>
    <x v="4"/>
    <x v="3"/>
    <x v="3"/>
    <x v="0"/>
    <x v="3"/>
    <m/>
    <m/>
    <m/>
    <m/>
    <m/>
    <m/>
  </r>
  <r>
    <x v="95"/>
    <s v="Anderson, Vic"/>
    <x v="4"/>
    <x v="9"/>
    <x v="6"/>
    <x v="0"/>
    <x v="8"/>
    <s v="HCPAW-FY14 Invest"/>
    <n v="11956"/>
    <s v="Backfill for JB.  Need start date and formal offer.  Need to bump req from P3 to P4."/>
    <d v="2014-05-06T00:00:00"/>
    <s v="HDS"/>
    <s v="Wayne Chestna"/>
  </r>
  <r>
    <x v="96"/>
    <s v="Pinkney, Dave"/>
    <x v="4"/>
    <x v="0"/>
    <x v="0"/>
    <x v="0"/>
    <x v="3"/>
    <m/>
    <m/>
    <m/>
    <m/>
    <m/>
    <m/>
  </r>
  <r>
    <x v="97"/>
    <s v="Pinkney, Dave"/>
    <x v="4"/>
    <x v="0"/>
    <x v="0"/>
    <x v="0"/>
    <x v="3"/>
    <m/>
    <m/>
    <m/>
    <m/>
    <m/>
    <m/>
  </r>
  <r>
    <x v="98"/>
    <s v="Pinkney, Dave"/>
    <x v="5"/>
    <x v="4"/>
    <x v="4"/>
    <x v="0"/>
    <x v="3"/>
    <m/>
    <m/>
    <m/>
    <m/>
    <m/>
    <m/>
  </r>
  <r>
    <x v="99"/>
    <s v="Chestna, Wayne"/>
    <x v="5"/>
    <x v="6"/>
    <x v="6"/>
    <x v="0"/>
    <x v="3"/>
    <s v="HDDS/Maldives FY14 Investment"/>
    <n v="13120"/>
    <m/>
    <m/>
    <m/>
    <m/>
  </r>
  <r>
    <x v="100"/>
    <m/>
    <x v="5"/>
    <x v="0"/>
    <x v="0"/>
    <x v="1"/>
    <x v="6"/>
    <s v="HDDS/Maldives FY14 Investment"/>
    <n v="13166"/>
    <s v="Penny"/>
    <m/>
    <m/>
    <m/>
  </r>
  <r>
    <x v="101"/>
    <m/>
    <x v="5"/>
    <x v="3"/>
    <x v="3"/>
    <x v="0"/>
    <x v="3"/>
    <s v="HDDS/Maldives FY14 Investment"/>
    <n v="13121"/>
    <s v="Penny"/>
    <m/>
    <m/>
    <m/>
  </r>
  <r>
    <x v="102"/>
    <m/>
    <x v="5"/>
    <x v="11"/>
    <x v="8"/>
    <x v="0"/>
    <x v="4"/>
    <s v="HDDS/Maldives FY14 Investment"/>
    <n v="13118"/>
    <s v="Penny.  External facing PO / Tech / Sustaining indvidual"/>
    <m/>
    <m/>
    <m/>
  </r>
  <r>
    <x v="103"/>
    <m/>
    <x v="5"/>
    <x v="0"/>
    <x v="0"/>
    <x v="1"/>
    <x v="8"/>
    <s v="HDDS/Maldives FY14 Investment"/>
    <n v="13167"/>
    <s v="Penny"/>
    <m/>
    <m/>
    <m/>
  </r>
  <r>
    <x v="104"/>
    <s v="Rogers, Rich"/>
    <x v="6"/>
    <x v="13"/>
    <x v="10"/>
    <x v="0"/>
    <x v="9"/>
    <m/>
    <m/>
    <m/>
    <m/>
    <m/>
    <m/>
  </r>
  <r>
    <x v="105"/>
    <s v="Lin, Wayzen"/>
    <x v="6"/>
    <x v="11"/>
    <x v="8"/>
    <x v="0"/>
    <x v="12"/>
    <m/>
    <m/>
    <m/>
    <m/>
    <m/>
    <m/>
  </r>
  <r>
    <x v="106"/>
    <m/>
    <x v="6"/>
    <x v="6"/>
    <x v="6"/>
    <x v="0"/>
    <x v="12"/>
    <s v="FCS-HCP-FY14 Investment"/>
    <n v="13237"/>
    <s v="Penny"/>
    <m/>
    <m/>
    <m/>
  </r>
  <r>
    <x v="107"/>
    <m/>
    <x v="6"/>
    <x v="6"/>
    <x v="6"/>
    <x v="0"/>
    <x v="12"/>
    <s v="FCS-HCP-FY14 Investment"/>
    <n v="13238"/>
    <s v="Hold until Oct. for FCS budget.  Penny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4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K3:N120" firstHeaderRow="1" firstDataRow="1" firstDataCol="3"/>
  <pivotFields count="14">
    <pivotField compact="0" outline="0" showAll="0"/>
    <pivotField axis="axisRow" dataField="1" compact="0" outline="0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axis="axisRow" compact="0" outline="0" showAll="0">
      <items count="12">
        <item x="3"/>
        <item x="0"/>
        <item x="9"/>
        <item x="7"/>
        <item x="4"/>
        <item x="10"/>
        <item x="6"/>
        <item x="2"/>
        <item x="8"/>
        <item x="1"/>
        <item x="5"/>
        <item t="default"/>
      </items>
    </pivotField>
    <pivotField compact="0" outline="0" showAll="0"/>
    <pivotField compact="0" outline="0" showAll="0" defaultSubtotal="0">
      <items count="18">
        <item x="9"/>
        <item x="5"/>
        <item x="12"/>
        <item x="13"/>
        <item x="6"/>
        <item x="16"/>
        <item x="14"/>
        <item x="11"/>
        <item x="15"/>
        <item x="1"/>
        <item x="7"/>
        <item x="4"/>
        <item x="10"/>
        <item x="0"/>
        <item x="2"/>
        <item x="3"/>
        <item x="8"/>
        <item x="17"/>
      </items>
    </pivotField>
    <pivotField compact="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2"/>
    <field x="6"/>
    <field x="1"/>
  </rowFields>
  <rowItems count="117">
    <i>
      <x/>
      <x/>
      <x v="4"/>
    </i>
    <i r="2">
      <x v="62"/>
    </i>
    <i t="default" r="1">
      <x/>
    </i>
    <i r="1">
      <x v="1"/>
      <x v="9"/>
    </i>
    <i r="2">
      <x v="41"/>
    </i>
    <i r="2">
      <x v="47"/>
    </i>
    <i r="2">
      <x v="54"/>
    </i>
    <i r="2">
      <x v="59"/>
    </i>
    <i r="2">
      <x v="60"/>
    </i>
    <i r="2">
      <x v="75"/>
    </i>
    <i r="2">
      <x v="79"/>
    </i>
    <i t="default" r="1">
      <x v="1"/>
    </i>
    <i t="default">
      <x/>
    </i>
    <i>
      <x v="1"/>
      <x v="1"/>
      <x/>
    </i>
    <i r="2">
      <x v="2"/>
    </i>
    <i r="2">
      <x v="11"/>
    </i>
    <i r="2">
      <x v="38"/>
    </i>
    <i r="2">
      <x v="70"/>
    </i>
    <i r="2">
      <x v="76"/>
    </i>
    <i r="2">
      <x v="77"/>
    </i>
    <i t="default" r="1">
      <x v="1"/>
    </i>
    <i t="default">
      <x v="1"/>
    </i>
    <i>
      <x v="2"/>
      <x/>
      <x v="23"/>
    </i>
    <i r="2">
      <x v="29"/>
    </i>
    <i t="default" r="1">
      <x/>
    </i>
    <i r="1">
      <x v="1"/>
      <x v="31"/>
    </i>
    <i r="2">
      <x v="52"/>
    </i>
    <i r="2">
      <x v="67"/>
    </i>
    <i r="2">
      <x v="80"/>
    </i>
    <i t="default" r="1">
      <x v="1"/>
    </i>
    <i t="default">
      <x v="2"/>
    </i>
    <i>
      <x v="3"/>
      <x v="1"/>
      <x v="12"/>
    </i>
    <i r="2">
      <x v="22"/>
    </i>
    <i r="2">
      <x v="28"/>
    </i>
    <i r="2">
      <x v="30"/>
    </i>
    <i r="2">
      <x v="32"/>
    </i>
    <i r="2">
      <x v="73"/>
    </i>
    <i t="default" r="1">
      <x v="1"/>
    </i>
    <i t="default">
      <x v="3"/>
    </i>
    <i>
      <x v="4"/>
      <x v="1"/>
      <x v="5"/>
    </i>
    <i r="2">
      <x v="7"/>
    </i>
    <i r="2">
      <x v="14"/>
    </i>
    <i r="2">
      <x v="21"/>
    </i>
    <i r="2">
      <x v="33"/>
    </i>
    <i r="2">
      <x v="64"/>
    </i>
    <i r="2">
      <x v="66"/>
    </i>
    <i t="default" r="1">
      <x v="1"/>
    </i>
    <i t="default">
      <x v="4"/>
    </i>
    <i>
      <x v="5"/>
      <x/>
      <x v="24"/>
    </i>
    <i r="2">
      <x v="26"/>
    </i>
    <i t="default" r="1">
      <x/>
    </i>
    <i r="1">
      <x v="1"/>
      <x v="35"/>
    </i>
    <i r="2">
      <x v="53"/>
    </i>
    <i r="2">
      <x v="68"/>
    </i>
    <i r="2">
      <x v="71"/>
    </i>
    <i r="2">
      <x v="72"/>
    </i>
    <i r="2">
      <x v="81"/>
    </i>
    <i t="default" r="1">
      <x v="1"/>
    </i>
    <i t="default">
      <x v="5"/>
    </i>
    <i>
      <x v="6"/>
      <x v="1"/>
      <x v="8"/>
    </i>
    <i r="2">
      <x v="16"/>
    </i>
    <i r="2">
      <x v="34"/>
    </i>
    <i r="2">
      <x v="36"/>
    </i>
    <i r="2">
      <x v="43"/>
    </i>
    <i r="2">
      <x v="56"/>
    </i>
    <i r="2">
      <x v="58"/>
    </i>
    <i r="2">
      <x v="63"/>
    </i>
    <i r="2">
      <x v="69"/>
    </i>
    <i t="default" r="1">
      <x v="1"/>
    </i>
    <i t="default">
      <x v="6"/>
    </i>
    <i>
      <x v="7"/>
      <x/>
      <x v="27"/>
    </i>
    <i r="2">
      <x v="50"/>
    </i>
    <i r="2">
      <x v="65"/>
    </i>
    <i t="default" r="1">
      <x/>
    </i>
    <i r="1">
      <x v="1"/>
      <x v="3"/>
    </i>
    <i r="2">
      <x v="55"/>
    </i>
    <i t="default" r="1">
      <x v="1"/>
    </i>
    <i t="default">
      <x v="7"/>
    </i>
    <i>
      <x v="8"/>
      <x/>
      <x v="25"/>
    </i>
    <i r="2">
      <x v="46"/>
    </i>
    <i t="default" r="1">
      <x/>
    </i>
    <i r="1">
      <x v="1"/>
      <x v="15"/>
    </i>
    <i r="2">
      <x v="17"/>
    </i>
    <i r="2">
      <x v="18"/>
    </i>
    <i r="2">
      <x v="19"/>
    </i>
    <i r="2">
      <x v="37"/>
    </i>
    <i r="2">
      <x v="39"/>
    </i>
    <i r="2">
      <x v="42"/>
    </i>
    <i r="2">
      <x v="44"/>
    </i>
    <i r="2">
      <x v="45"/>
    </i>
    <i r="2">
      <x v="51"/>
    </i>
    <i r="2">
      <x v="57"/>
    </i>
    <i r="2">
      <x v="82"/>
    </i>
    <i r="2">
      <x v="83"/>
    </i>
    <i r="2">
      <x v="84"/>
    </i>
    <i t="default" r="1">
      <x v="1"/>
    </i>
    <i t="default">
      <x v="8"/>
    </i>
    <i>
      <x v="9"/>
      <x v="1"/>
      <x v="1"/>
    </i>
    <i r="2">
      <x v="48"/>
    </i>
    <i r="2">
      <x v="61"/>
    </i>
    <i t="default" r="1">
      <x v="1"/>
    </i>
    <i t="default">
      <x v="9"/>
    </i>
    <i>
      <x v="10"/>
      <x/>
      <x v="6"/>
    </i>
    <i r="2">
      <x v="13"/>
    </i>
    <i r="2">
      <x v="40"/>
    </i>
    <i r="2">
      <x v="74"/>
    </i>
    <i t="default" r="1">
      <x/>
    </i>
    <i r="1">
      <x v="1"/>
      <x v="10"/>
    </i>
    <i r="2">
      <x v="20"/>
    </i>
    <i r="2">
      <x v="49"/>
    </i>
    <i r="2">
      <x v="74"/>
    </i>
    <i r="2">
      <x v="78"/>
    </i>
    <i t="default" r="1">
      <x v="1"/>
    </i>
    <i r="1">
      <x v="2"/>
      <x v="85"/>
    </i>
    <i t="default" r="1">
      <x v="2"/>
    </i>
    <i t="default">
      <x v="10"/>
    </i>
    <i t="grand">
      <x/>
    </i>
  </rowItems>
  <colItems count="1">
    <i/>
  </colItems>
  <dataFields count="1">
    <dataField name="Count of Name" fld="1" subtotal="count" baseField="0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J161:K169" firstHeaderRow="2" firstDataRow="2" firstDataCol="1"/>
  <pivotFields count="11"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showAll="0">
      <items count="9">
        <item x="4"/>
        <item x="3"/>
        <item x="2"/>
        <item x="1"/>
        <item x="0"/>
        <item x="6"/>
        <item x="5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4"/>
        <item sd="0" x="1"/>
        <item sd="0" x="3"/>
        <item sd="0" x="2"/>
        <item sd="0" x="5"/>
        <item sd="0" x="0"/>
        <item t="default"/>
      </items>
    </pivotField>
    <pivotField showAll="0">
      <items count="11">
        <item x="8"/>
        <item x="1"/>
        <item x="7"/>
        <item x="3"/>
        <item x="6"/>
        <item x="5"/>
        <item x="4"/>
        <item x="2"/>
        <item x="9"/>
        <item x="0"/>
        <item t="default"/>
      </items>
    </pivotField>
  </pivotFields>
  <rowFields count="2">
    <field x="9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outline="1" outlineData="1" compactData="0" multipleFieldFilters="0">
  <location ref="B3:E50" firstHeaderRow="1" firstDataRow="1" firstDataCol="3" rowPageCount="1" colPageCount="1"/>
  <pivotFields count="13">
    <pivotField axis="axisRow" dataField="1" compact="0" showAll="0">
      <items count="111">
        <item x="62"/>
        <item x="63"/>
        <item x="64"/>
        <item x="40"/>
        <item x="65"/>
        <item x="41"/>
        <item x="66"/>
        <item x="42"/>
        <item x="67"/>
        <item x="68"/>
        <item x="69"/>
        <item x="70"/>
        <item x="9"/>
        <item x="71"/>
        <item x="43"/>
        <item x="44"/>
        <item x="10"/>
        <item x="72"/>
        <item x="73"/>
        <item x="45"/>
        <item x="74"/>
        <item x="46"/>
        <item x="11"/>
        <item x="47"/>
        <item x="12"/>
        <item x="75"/>
        <item x="13"/>
        <item x="48"/>
        <item x="14"/>
        <item x="15"/>
        <item x="16"/>
        <item x="49"/>
        <item x="50"/>
        <item x="17"/>
        <item x="18"/>
        <item x="0"/>
        <item x="76"/>
        <item x="98"/>
        <item x="77"/>
        <item x="20"/>
        <item x="1"/>
        <item x="21"/>
        <item x="78"/>
        <item x="79"/>
        <item x="80"/>
        <item x="81"/>
        <item x="82"/>
        <item x="22"/>
        <item x="104"/>
        <item x="51"/>
        <item x="52"/>
        <item x="23"/>
        <item x="99"/>
        <item x="53"/>
        <item x="2"/>
        <item x="54"/>
        <item x="83"/>
        <item x="55"/>
        <item x="84"/>
        <item x="85"/>
        <item x="86"/>
        <item x="56"/>
        <item x="87"/>
        <item x="88"/>
        <item x="57"/>
        <item x="24"/>
        <item x="25"/>
        <item x="3"/>
        <item x="26"/>
        <item x="105"/>
        <item x="89"/>
        <item x="27"/>
        <item x="28"/>
        <item x="58"/>
        <item m="1" x="109"/>
        <item x="92"/>
        <item x="93"/>
        <item x="94"/>
        <item x="5"/>
        <item x="95"/>
        <item x="37"/>
        <item x="38"/>
        <item x="96"/>
        <item x="97"/>
        <item x="39"/>
        <item x="4"/>
        <item x="7"/>
        <item x="31"/>
        <item x="32"/>
        <item x="33"/>
        <item x="34"/>
        <item x="35"/>
        <item x="36"/>
        <item x="61"/>
        <item x="59"/>
        <item x="60"/>
        <item x="29"/>
        <item x="6"/>
        <item x="90"/>
        <item x="8"/>
        <item x="100"/>
        <item m="1" x="108"/>
        <item x="101"/>
        <item x="102"/>
        <item x="103"/>
        <item x="106"/>
        <item x="107"/>
        <item x="30"/>
        <item x="19"/>
        <item x="91"/>
        <item t="default"/>
      </items>
    </pivotField>
    <pivotField compact="0" showAll="0"/>
    <pivotField axis="axisRow" compact="0" showAll="0">
      <items count="11">
        <item m="1" x="9"/>
        <item m="1" x="8"/>
        <item x="2"/>
        <item x="3"/>
        <item x="4"/>
        <item x="5"/>
        <item x="6"/>
        <item x="0"/>
        <item x="1"/>
        <item m="1" x="7"/>
        <item t="default"/>
      </items>
    </pivotField>
    <pivotField compact="0" showAll="0">
      <items count="19">
        <item x="2"/>
        <item x="1"/>
        <item x="5"/>
        <item x="10"/>
        <item x="8"/>
        <item x="16"/>
        <item x="11"/>
        <item x="17"/>
        <item x="13"/>
        <item x="4"/>
        <item x="3"/>
        <item x="7"/>
        <item x="0"/>
        <item x="6"/>
        <item x="9"/>
        <item x="12"/>
        <item x="15"/>
        <item x="14"/>
        <item t="default"/>
      </items>
    </pivotField>
    <pivotField compact="0" showAll="0">
      <items count="13">
        <item x="11"/>
        <item x="4"/>
        <item x="7"/>
        <item x="10"/>
        <item x="5"/>
        <item x="0"/>
        <item x="3"/>
        <item x="6"/>
        <item x="8"/>
        <item x="9"/>
        <item x="1"/>
        <item x="2"/>
        <item t="default"/>
      </items>
    </pivotField>
    <pivotField axis="axisPage" compact="0" multipleItemSelectionAllowed="1" showAll="0">
      <items count="3">
        <item x="1"/>
        <item h="1" x="0"/>
        <item t="default"/>
      </items>
    </pivotField>
    <pivotField axis="axisRow" compact="0" showAll="0">
      <items count="15">
        <item x="1"/>
        <item x="6"/>
        <item x="10"/>
        <item x="3"/>
        <item x="0"/>
        <item x="7"/>
        <item x="9"/>
        <item x="4"/>
        <item x="8"/>
        <item x="5"/>
        <item x="12"/>
        <item x="11"/>
        <item m="1" x="13"/>
        <item x="2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3">
    <field x="2"/>
    <field x="6"/>
    <field x="0"/>
  </rowFields>
  <rowItems count="47">
    <i>
      <x v="2"/>
    </i>
    <i r="1">
      <x v="1"/>
    </i>
    <i r="2">
      <x v="24"/>
    </i>
    <i r="2">
      <x v="88"/>
    </i>
    <i r="1">
      <x v="2"/>
    </i>
    <i r="2">
      <x v="89"/>
    </i>
    <i r="1">
      <x v="5"/>
    </i>
    <i r="2">
      <x v="26"/>
    </i>
    <i r="1">
      <x v="8"/>
    </i>
    <i r="2">
      <x v="29"/>
    </i>
    <i r="1">
      <x v="9"/>
    </i>
    <i r="2">
      <x v="65"/>
    </i>
    <i r="2">
      <x v="91"/>
    </i>
    <i>
      <x v="3"/>
    </i>
    <i r="1">
      <x v="1"/>
    </i>
    <i r="2">
      <x v="23"/>
    </i>
    <i r="2">
      <x v="27"/>
    </i>
    <i r="2">
      <x v="93"/>
    </i>
    <i r="1">
      <x v="8"/>
    </i>
    <i r="2">
      <x v="50"/>
    </i>
    <i>
      <x v="4"/>
    </i>
    <i r="1">
      <x v="1"/>
    </i>
    <i r="2">
      <x v="13"/>
    </i>
    <i r="2">
      <x v="25"/>
    </i>
    <i r="2">
      <x v="109"/>
    </i>
    <i r="1">
      <x v="3"/>
    </i>
    <i r="2">
      <x v="46"/>
    </i>
    <i r="2">
      <x v="62"/>
    </i>
    <i r="1">
      <x v="7"/>
    </i>
    <i r="2">
      <x v="4"/>
    </i>
    <i r="2">
      <x v="98"/>
    </i>
    <i r="1">
      <x v="8"/>
    </i>
    <i r="2">
      <x v="6"/>
    </i>
    <i>
      <x v="5"/>
    </i>
    <i r="1">
      <x v="1"/>
    </i>
    <i r="2">
      <x v="100"/>
    </i>
    <i r="1">
      <x v="8"/>
    </i>
    <i r="2">
      <x v="104"/>
    </i>
    <i>
      <x v="7"/>
    </i>
    <i r="1">
      <x/>
    </i>
    <i r="2">
      <x v="40"/>
    </i>
    <i r="1">
      <x v="4"/>
    </i>
    <i r="2">
      <x v="85"/>
    </i>
    <i>
      <x v="8"/>
    </i>
    <i r="1">
      <x v="13"/>
    </i>
    <i r="2">
      <x v="86"/>
    </i>
    <i t="grand">
      <x/>
    </i>
  </rowItems>
  <colItems count="1">
    <i/>
  </colItems>
  <pageFields count="1">
    <pageField fld="5" hier="-1"/>
  </pageFields>
  <dataFields count="1">
    <dataField name="Count of Name" fld="0" subtotal="count" baseField="0" baseItem="0"/>
  </dataFields>
  <pivotTableStyleInfo name="PivotStyleMedium2" showRowHeaders="1" showColHeaders="1" showRowStripes="0" showColStripes="0" showLastColumn="1"/>
  <filters count="1">
    <filter fld="0" type="captionNotEqual" evalOrder="-1" id="2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"/>
  <sheetViews>
    <sheetView topLeftCell="G2" zoomScale="150" zoomScaleNormal="150" zoomScalePageLayoutView="150" workbookViewId="0">
      <selection activeCell="B4" sqref="B4"/>
    </sheetView>
  </sheetViews>
  <sheetFormatPr defaultColWidth="8.875" defaultRowHeight="15.75" x14ac:dyDescent="0.25"/>
  <sheetData/>
  <phoneticPr fontId="5" type="noConversion"/>
  <pageMargins left="0.7" right="0.7" top="0.75" bottom="0.75" header="0.3" footer="0.3"/>
  <pageSetup scale="59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opLeftCell="F6" zoomScale="135" zoomScaleNormal="135" zoomScalePageLayoutView="135" workbookViewId="0">
      <selection activeCell="D40" sqref="D40"/>
    </sheetView>
  </sheetViews>
  <sheetFormatPr defaultColWidth="8.875" defaultRowHeight="15.75" x14ac:dyDescent="0.25"/>
  <sheetData/>
  <phoneticPr fontId="5" type="noConversion"/>
  <pageMargins left="0.7" right="0.7" top="0.75" bottom="0.75" header="0.3" footer="0.3"/>
  <pageSetup scale="59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D8" workbookViewId="0">
      <selection activeCell="P31" sqref="P31"/>
    </sheetView>
  </sheetViews>
  <sheetFormatPr defaultColWidth="11" defaultRowHeight="15.75" x14ac:dyDescent="0.25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"/>
  <sheetViews>
    <sheetView topLeftCell="H9" zoomScale="125" zoomScaleNormal="125" zoomScalePageLayoutView="125" workbookViewId="0">
      <selection activeCell="O8" sqref="O8"/>
    </sheetView>
  </sheetViews>
  <sheetFormatPr defaultColWidth="8.875" defaultRowHeight="15.75" x14ac:dyDescent="0.25"/>
  <sheetData/>
  <phoneticPr fontId="5" type="noConversion"/>
  <pageMargins left="0.7" right="0.7" top="0.75" bottom="0.75" header="0.3" footer="0.3"/>
  <pageSetup scale="59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I14" zoomScale="145" zoomScaleNormal="145" zoomScalePageLayoutView="145" workbookViewId="0">
      <selection activeCell="N33" sqref="N33"/>
    </sheetView>
  </sheetViews>
  <sheetFormatPr defaultColWidth="8.875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" workbookViewId="0">
      <selection activeCell="A22" sqref="A22"/>
    </sheetView>
  </sheetViews>
  <sheetFormatPr defaultColWidth="8.875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169"/>
  <sheetViews>
    <sheetView zoomScale="70" zoomScaleNormal="70" zoomScalePageLayoutView="70" workbookViewId="0">
      <selection activeCell="B4" sqref="B4:D4 B17:D17 B24:D24 B37:D37 B42:D42 B47:D47"/>
      <pivotSelection pane="bottomRight" showHeader="1" axis="axisRow" activeRow="3" activeCol="1" previousRow="3" previousCol="1" click="1" r:id="rId3">
        <pivotArea dataOnly="0" labelOnly="1" fieldPosition="0">
          <references count="1">
            <reference field="2" count="0"/>
          </references>
        </pivotArea>
      </pivotSelection>
    </sheetView>
  </sheetViews>
  <sheetFormatPr defaultColWidth="8.875" defaultRowHeight="15.75" x14ac:dyDescent="0.25"/>
  <cols>
    <col min="2" max="2" width="25.125" bestFit="1" customWidth="1"/>
    <col min="3" max="3" width="18.125" bestFit="1" customWidth="1"/>
    <col min="4" max="4" width="18.875" customWidth="1"/>
    <col min="5" max="5" width="13.5" customWidth="1"/>
    <col min="6" max="6" width="13.5" bestFit="1" customWidth="1"/>
    <col min="7" max="7" width="13.125" customWidth="1"/>
    <col min="9" max="9" width="13.875" customWidth="1"/>
    <col min="10" max="10" width="13.125" bestFit="1" customWidth="1"/>
    <col min="11" max="11" width="14.5" customWidth="1"/>
    <col min="12" max="12" width="20.125" customWidth="1"/>
    <col min="13" max="13" width="19.625" customWidth="1"/>
    <col min="14" max="14" width="13.875" bestFit="1" customWidth="1"/>
  </cols>
  <sheetData>
    <row r="1" spans="2:14" x14ac:dyDescent="0.25">
      <c r="B1" s="22" t="s">
        <v>18</v>
      </c>
      <c r="C1" t="s">
        <v>20</v>
      </c>
    </row>
    <row r="3" spans="2:14" x14ac:dyDescent="0.25">
      <c r="B3" s="22" t="s">
        <v>3</v>
      </c>
      <c r="C3" s="22" t="s">
        <v>97</v>
      </c>
      <c r="D3" s="22" t="s">
        <v>0</v>
      </c>
      <c r="E3" t="s">
        <v>224</v>
      </c>
      <c r="K3" s="22" t="s">
        <v>228</v>
      </c>
      <c r="L3" s="22" t="s">
        <v>18</v>
      </c>
      <c r="M3" s="22" t="s">
        <v>0</v>
      </c>
      <c r="N3" t="s">
        <v>224</v>
      </c>
    </row>
    <row r="4" spans="2:14" x14ac:dyDescent="0.25">
      <c r="B4" t="s">
        <v>9</v>
      </c>
      <c r="E4" s="24">
        <v>7</v>
      </c>
      <c r="G4" s="24"/>
      <c r="K4" t="s">
        <v>4</v>
      </c>
      <c r="L4" t="s">
        <v>20</v>
      </c>
      <c r="M4" t="s">
        <v>167</v>
      </c>
      <c r="N4" s="24">
        <v>1</v>
      </c>
    </row>
    <row r="5" spans="2:14" x14ac:dyDescent="0.25">
      <c r="C5" t="s">
        <v>100</v>
      </c>
      <c r="E5" s="24">
        <v>2</v>
      </c>
      <c r="G5" s="24"/>
      <c r="M5" t="s">
        <v>122</v>
      </c>
      <c r="N5" s="24">
        <v>1</v>
      </c>
    </row>
    <row r="6" spans="2:14" x14ac:dyDescent="0.25">
      <c r="D6" t="s">
        <v>60</v>
      </c>
      <c r="E6" s="24">
        <v>1</v>
      </c>
      <c r="G6" s="24"/>
      <c r="L6" t="s">
        <v>283</v>
      </c>
      <c r="N6" s="24">
        <v>2</v>
      </c>
    </row>
    <row r="7" spans="2:14" x14ac:dyDescent="0.25">
      <c r="D7" t="s">
        <v>255</v>
      </c>
      <c r="E7" s="24">
        <v>1</v>
      </c>
      <c r="G7" s="24"/>
      <c r="L7" t="s">
        <v>19</v>
      </c>
      <c r="M7" t="s">
        <v>69</v>
      </c>
      <c r="N7" s="24">
        <v>1</v>
      </c>
    </row>
    <row r="8" spans="2:14" x14ac:dyDescent="0.25">
      <c r="C8" t="s">
        <v>101</v>
      </c>
      <c r="E8" s="24">
        <v>1</v>
      </c>
      <c r="G8" s="24"/>
      <c r="M8" t="s">
        <v>8</v>
      </c>
      <c r="N8" s="24">
        <v>1</v>
      </c>
    </row>
    <row r="9" spans="2:14" x14ac:dyDescent="0.25">
      <c r="D9" t="s">
        <v>256</v>
      </c>
      <c r="E9" s="24">
        <v>1</v>
      </c>
      <c r="G9" s="24"/>
      <c r="M9" t="s">
        <v>15</v>
      </c>
      <c r="N9" s="24">
        <v>1</v>
      </c>
    </row>
    <row r="10" spans="2:14" x14ac:dyDescent="0.25">
      <c r="C10" t="s">
        <v>102</v>
      </c>
      <c r="E10" s="24">
        <v>1</v>
      </c>
      <c r="G10" s="24"/>
      <c r="M10" t="s">
        <v>70</v>
      </c>
      <c r="N10" s="24">
        <v>1</v>
      </c>
    </row>
    <row r="11" spans="2:14" x14ac:dyDescent="0.25">
      <c r="D11" t="s">
        <v>214</v>
      </c>
      <c r="E11" s="24">
        <v>1</v>
      </c>
      <c r="G11" s="24"/>
      <c r="M11" t="s">
        <v>176</v>
      </c>
      <c r="N11" s="24">
        <v>1</v>
      </c>
    </row>
    <row r="12" spans="2:14" x14ac:dyDescent="0.25">
      <c r="C12" t="s">
        <v>98</v>
      </c>
      <c r="E12" s="24">
        <v>1</v>
      </c>
      <c r="G12" s="24"/>
      <c r="M12" t="s">
        <v>72</v>
      </c>
      <c r="N12" s="24">
        <v>1</v>
      </c>
    </row>
    <row r="13" spans="2:14" x14ac:dyDescent="0.25">
      <c r="D13" t="s">
        <v>125</v>
      </c>
      <c r="E13" s="24">
        <v>1</v>
      </c>
      <c r="G13" s="24"/>
      <c r="M13" t="s">
        <v>74</v>
      </c>
      <c r="N13" s="24">
        <v>1</v>
      </c>
    </row>
    <row r="14" spans="2:14" x14ac:dyDescent="0.25">
      <c r="C14" t="s">
        <v>103</v>
      </c>
      <c r="E14" s="24">
        <v>2</v>
      </c>
      <c r="G14" s="24"/>
      <c r="M14" t="s">
        <v>170</v>
      </c>
      <c r="N14" s="24">
        <v>1</v>
      </c>
    </row>
    <row r="15" spans="2:14" x14ac:dyDescent="0.25">
      <c r="D15" t="s">
        <v>27</v>
      </c>
      <c r="E15" s="24">
        <v>1</v>
      </c>
      <c r="G15" s="24"/>
      <c r="L15" t="s">
        <v>284</v>
      </c>
      <c r="N15" s="24">
        <v>8</v>
      </c>
    </row>
    <row r="16" spans="2:14" x14ac:dyDescent="0.25">
      <c r="D16" t="s">
        <v>258</v>
      </c>
      <c r="E16" s="24">
        <v>1</v>
      </c>
      <c r="G16" s="24"/>
      <c r="K16" t="s">
        <v>243</v>
      </c>
      <c r="N16" s="24">
        <v>10</v>
      </c>
    </row>
    <row r="17" spans="2:14" x14ac:dyDescent="0.25">
      <c r="B17" t="s">
        <v>7</v>
      </c>
      <c r="E17" s="24">
        <v>4</v>
      </c>
      <c r="G17" s="24"/>
      <c r="K17" t="s">
        <v>67</v>
      </c>
      <c r="L17" t="s">
        <v>19</v>
      </c>
      <c r="M17" t="s">
        <v>75</v>
      </c>
      <c r="N17" s="24">
        <v>1</v>
      </c>
    </row>
    <row r="18" spans="2:14" x14ac:dyDescent="0.25">
      <c r="C18" t="s">
        <v>100</v>
      </c>
      <c r="E18" s="24">
        <v>3</v>
      </c>
      <c r="G18" s="24"/>
      <c r="M18" t="s">
        <v>76</v>
      </c>
      <c r="N18" s="24">
        <v>1</v>
      </c>
    </row>
    <row r="19" spans="2:14" x14ac:dyDescent="0.25">
      <c r="D19" t="s">
        <v>55</v>
      </c>
      <c r="E19" s="24">
        <v>1</v>
      </c>
      <c r="G19" s="24"/>
      <c r="M19" t="s">
        <v>77</v>
      </c>
      <c r="N19" s="24">
        <v>1</v>
      </c>
    </row>
    <row r="20" spans="2:14" x14ac:dyDescent="0.25">
      <c r="D20" t="s">
        <v>23</v>
      </c>
      <c r="E20" s="24">
        <v>1</v>
      </c>
      <c r="G20" s="24"/>
      <c r="M20" t="s">
        <v>78</v>
      </c>
      <c r="N20" s="24">
        <v>1</v>
      </c>
    </row>
    <row r="21" spans="2:14" x14ac:dyDescent="0.25">
      <c r="D21" t="s">
        <v>260</v>
      </c>
      <c r="E21" s="24">
        <v>1</v>
      </c>
      <c r="G21" s="24"/>
      <c r="M21" t="s">
        <v>80</v>
      </c>
      <c r="N21" s="24">
        <v>1</v>
      </c>
    </row>
    <row r="22" spans="2:14" x14ac:dyDescent="0.25">
      <c r="C22" t="s">
        <v>98</v>
      </c>
      <c r="E22" s="24">
        <v>1</v>
      </c>
      <c r="G22" s="24"/>
      <c r="M22" t="s">
        <v>81</v>
      </c>
      <c r="N22" s="24">
        <v>1</v>
      </c>
    </row>
    <row r="23" spans="2:14" x14ac:dyDescent="0.25">
      <c r="D23" t="s">
        <v>26</v>
      </c>
      <c r="E23" s="24">
        <v>1</v>
      </c>
      <c r="G23" s="24"/>
      <c r="M23" t="s">
        <v>82</v>
      </c>
      <c r="N23" s="24">
        <v>1</v>
      </c>
    </row>
    <row r="24" spans="2:14" x14ac:dyDescent="0.25">
      <c r="B24" t="s">
        <v>5</v>
      </c>
      <c r="E24" s="24">
        <v>8</v>
      </c>
      <c r="G24" s="24"/>
      <c r="L24" t="s">
        <v>284</v>
      </c>
      <c r="N24" s="24">
        <v>7</v>
      </c>
    </row>
    <row r="25" spans="2:14" x14ac:dyDescent="0.25">
      <c r="C25" t="s">
        <v>100</v>
      </c>
      <c r="E25" s="24">
        <v>3</v>
      </c>
      <c r="G25" s="24"/>
      <c r="K25" t="s">
        <v>244</v>
      </c>
      <c r="N25" s="24">
        <v>7</v>
      </c>
    </row>
    <row r="26" spans="2:14" x14ac:dyDescent="0.25">
      <c r="D26" t="s">
        <v>204</v>
      </c>
      <c r="E26" s="24">
        <v>1</v>
      </c>
      <c r="G26" s="24"/>
      <c r="K26" t="s">
        <v>14</v>
      </c>
      <c r="L26" t="s">
        <v>20</v>
      </c>
      <c r="M26" t="s">
        <v>55</v>
      </c>
      <c r="N26" s="24">
        <v>1</v>
      </c>
    </row>
    <row r="27" spans="2:14" x14ac:dyDescent="0.25">
      <c r="D27" t="s">
        <v>160</v>
      </c>
      <c r="E27" s="24">
        <v>1</v>
      </c>
      <c r="G27" s="24"/>
      <c r="M27" t="s">
        <v>125</v>
      </c>
      <c r="N27" s="24">
        <v>1</v>
      </c>
    </row>
    <row r="28" spans="2:14" x14ac:dyDescent="0.25">
      <c r="D28" t="s">
        <v>277</v>
      </c>
      <c r="E28" s="24">
        <v>1</v>
      </c>
      <c r="G28" s="24"/>
      <c r="L28" t="s">
        <v>283</v>
      </c>
      <c r="N28" s="24">
        <v>2</v>
      </c>
    </row>
    <row r="29" spans="2:14" x14ac:dyDescent="0.25">
      <c r="C29" t="s">
        <v>99</v>
      </c>
      <c r="E29" s="24">
        <v>2</v>
      </c>
      <c r="G29" s="24"/>
      <c r="L29" t="s">
        <v>19</v>
      </c>
      <c r="M29" t="s">
        <v>56</v>
      </c>
      <c r="N29" s="24">
        <v>1</v>
      </c>
    </row>
    <row r="30" spans="2:14" x14ac:dyDescent="0.25">
      <c r="D30" t="s">
        <v>168</v>
      </c>
      <c r="E30" s="24">
        <v>1</v>
      </c>
      <c r="G30" s="24"/>
      <c r="M30" t="s">
        <v>79</v>
      </c>
      <c r="N30" s="24">
        <v>1</v>
      </c>
    </row>
    <row r="31" spans="2:14" x14ac:dyDescent="0.25">
      <c r="D31" t="s">
        <v>122</v>
      </c>
      <c r="E31" s="24">
        <v>1</v>
      </c>
      <c r="G31" s="24"/>
      <c r="M31" t="s">
        <v>127</v>
      </c>
      <c r="N31" s="24">
        <v>1</v>
      </c>
    </row>
    <row r="32" spans="2:14" x14ac:dyDescent="0.25">
      <c r="C32" t="s">
        <v>105</v>
      </c>
      <c r="E32" s="24">
        <v>2</v>
      </c>
      <c r="G32" s="24"/>
      <c r="M32" t="s">
        <v>28</v>
      </c>
      <c r="N32" s="24">
        <v>1</v>
      </c>
    </row>
    <row r="33" spans="2:14" x14ac:dyDescent="0.25">
      <c r="D33" t="s">
        <v>167</v>
      </c>
      <c r="E33" s="24">
        <v>1</v>
      </c>
      <c r="G33" s="24"/>
      <c r="L33" t="s">
        <v>284</v>
      </c>
      <c r="N33" s="24">
        <v>4</v>
      </c>
    </row>
    <row r="34" spans="2:14" x14ac:dyDescent="0.25">
      <c r="D34" t="s">
        <v>265</v>
      </c>
      <c r="E34" s="24">
        <v>1</v>
      </c>
      <c r="G34" s="24"/>
      <c r="K34" t="s">
        <v>245</v>
      </c>
      <c r="N34" s="24">
        <v>6</v>
      </c>
    </row>
    <row r="35" spans="2:14" x14ac:dyDescent="0.25">
      <c r="C35" t="s">
        <v>98</v>
      </c>
      <c r="E35" s="24">
        <v>1</v>
      </c>
      <c r="G35" s="24"/>
      <c r="K35" t="s">
        <v>12</v>
      </c>
      <c r="L35" t="s">
        <v>19</v>
      </c>
      <c r="M35" t="s">
        <v>36</v>
      </c>
      <c r="N35" s="24">
        <v>1</v>
      </c>
    </row>
    <row r="36" spans="2:14" x14ac:dyDescent="0.25">
      <c r="D36" t="s">
        <v>189</v>
      </c>
      <c r="E36" s="24">
        <v>1</v>
      </c>
      <c r="G36" s="24"/>
      <c r="M36" t="s">
        <v>30</v>
      </c>
      <c r="N36" s="24">
        <v>1</v>
      </c>
    </row>
    <row r="37" spans="2:14" x14ac:dyDescent="0.25">
      <c r="B37" t="s">
        <v>202</v>
      </c>
      <c r="E37" s="24">
        <v>2</v>
      </c>
      <c r="G37" s="24"/>
      <c r="M37" t="s">
        <v>177</v>
      </c>
      <c r="N37" s="24">
        <v>1</v>
      </c>
    </row>
    <row r="38" spans="2:14" x14ac:dyDescent="0.25">
      <c r="C38" t="s">
        <v>100</v>
      </c>
      <c r="E38" s="24">
        <v>1</v>
      </c>
      <c r="G38" s="24"/>
      <c r="M38" t="s">
        <v>31</v>
      </c>
      <c r="N38" s="24">
        <v>1</v>
      </c>
    </row>
    <row r="39" spans="2:14" x14ac:dyDescent="0.25">
      <c r="D39" t="s">
        <v>267</v>
      </c>
      <c r="E39" s="24">
        <v>1</v>
      </c>
      <c r="G39" s="24"/>
      <c r="M39" t="s">
        <v>32</v>
      </c>
      <c r="N39" s="24">
        <v>1</v>
      </c>
    </row>
    <row r="40" spans="2:14" x14ac:dyDescent="0.25">
      <c r="C40" t="s">
        <v>98</v>
      </c>
      <c r="E40" s="24">
        <v>1</v>
      </c>
      <c r="G40" s="24"/>
      <c r="M40" t="s">
        <v>35</v>
      </c>
      <c r="N40" s="24">
        <v>1</v>
      </c>
    </row>
    <row r="41" spans="2:14" x14ac:dyDescent="0.25">
      <c r="D41" t="s">
        <v>268</v>
      </c>
      <c r="E41" s="24">
        <v>1</v>
      </c>
      <c r="G41" s="24"/>
      <c r="L41" t="s">
        <v>284</v>
      </c>
      <c r="N41" s="24">
        <v>6</v>
      </c>
    </row>
    <row r="42" spans="2:14" x14ac:dyDescent="0.25">
      <c r="B42" t="s">
        <v>230</v>
      </c>
      <c r="E42" s="24">
        <v>2</v>
      </c>
      <c r="G42" s="24"/>
      <c r="K42" t="s">
        <v>246</v>
      </c>
      <c r="N42" s="24">
        <v>6</v>
      </c>
    </row>
    <row r="43" spans="2:14" x14ac:dyDescent="0.25">
      <c r="C43" t="s">
        <v>107</v>
      </c>
      <c r="E43" s="24">
        <v>1</v>
      </c>
      <c r="G43" s="24"/>
      <c r="K43" t="s">
        <v>8</v>
      </c>
      <c r="L43" t="s">
        <v>19</v>
      </c>
      <c r="M43" t="s">
        <v>44</v>
      </c>
      <c r="N43" s="24">
        <v>1</v>
      </c>
    </row>
    <row r="44" spans="2:14" x14ac:dyDescent="0.25">
      <c r="D44" t="s">
        <v>209</v>
      </c>
      <c r="E44" s="24">
        <v>1</v>
      </c>
      <c r="G44" s="24"/>
      <c r="M44" t="s">
        <v>48</v>
      </c>
      <c r="N44" s="24">
        <v>1</v>
      </c>
    </row>
    <row r="45" spans="2:14" x14ac:dyDescent="0.25">
      <c r="C45" t="s">
        <v>104</v>
      </c>
      <c r="E45" s="24">
        <v>1</v>
      </c>
      <c r="G45" s="24"/>
      <c r="M45" t="s">
        <v>14</v>
      </c>
      <c r="N45" s="24">
        <v>1</v>
      </c>
    </row>
    <row r="46" spans="2:14" x14ac:dyDescent="0.25">
      <c r="D46" t="s">
        <v>252</v>
      </c>
      <c r="E46" s="24">
        <v>1</v>
      </c>
      <c r="G46" s="24"/>
      <c r="M46" t="s">
        <v>49</v>
      </c>
      <c r="N46" s="24">
        <v>1</v>
      </c>
    </row>
    <row r="47" spans="2:14" x14ac:dyDescent="0.25">
      <c r="B47" t="s">
        <v>279</v>
      </c>
      <c r="E47" s="24">
        <v>1</v>
      </c>
      <c r="G47" s="24"/>
      <c r="M47" t="s">
        <v>50</v>
      </c>
      <c r="N47" s="24">
        <v>1</v>
      </c>
    </row>
    <row r="48" spans="2:14" x14ac:dyDescent="0.25">
      <c r="C48" t="s">
        <v>279</v>
      </c>
      <c r="E48" s="24">
        <v>1</v>
      </c>
      <c r="G48" s="24"/>
      <c r="M48" t="s">
        <v>52</v>
      </c>
      <c r="N48" s="24">
        <v>1</v>
      </c>
    </row>
    <row r="49" spans="2:14" x14ac:dyDescent="0.25">
      <c r="D49" t="s">
        <v>253</v>
      </c>
      <c r="E49" s="24">
        <v>1</v>
      </c>
      <c r="G49" s="24"/>
      <c r="M49" t="s">
        <v>53</v>
      </c>
      <c r="N49" s="24">
        <v>1</v>
      </c>
    </row>
    <row r="50" spans="2:14" x14ac:dyDescent="0.25">
      <c r="B50" t="s">
        <v>223</v>
      </c>
      <c r="E50" s="24">
        <v>24</v>
      </c>
      <c r="G50" s="24"/>
      <c r="L50" t="s">
        <v>284</v>
      </c>
      <c r="N50" s="24">
        <v>7</v>
      </c>
    </row>
    <row r="51" spans="2:14" x14ac:dyDescent="0.25">
      <c r="G51" s="24"/>
      <c r="K51" t="s">
        <v>241</v>
      </c>
      <c r="N51" s="24">
        <v>7</v>
      </c>
    </row>
    <row r="52" spans="2:14" x14ac:dyDescent="0.25">
      <c r="G52" s="24"/>
      <c r="K52" t="s">
        <v>15</v>
      </c>
      <c r="L52" t="s">
        <v>20</v>
      </c>
      <c r="M52" t="s">
        <v>60</v>
      </c>
      <c r="N52" s="24">
        <v>1</v>
      </c>
    </row>
    <row r="53" spans="2:14" x14ac:dyDescent="0.25">
      <c r="G53" s="24"/>
      <c r="M53" t="s">
        <v>214</v>
      </c>
      <c r="N53" s="24">
        <v>1</v>
      </c>
    </row>
    <row r="54" spans="2:14" x14ac:dyDescent="0.25">
      <c r="G54" s="24"/>
      <c r="L54" t="s">
        <v>283</v>
      </c>
      <c r="N54" s="24">
        <v>2</v>
      </c>
    </row>
    <row r="55" spans="2:14" x14ac:dyDescent="0.25">
      <c r="G55" s="24"/>
      <c r="L55" t="s">
        <v>19</v>
      </c>
      <c r="M55" t="s">
        <v>188</v>
      </c>
      <c r="N55" s="24">
        <v>1</v>
      </c>
    </row>
    <row r="56" spans="2:14" x14ac:dyDescent="0.25">
      <c r="G56" s="24"/>
      <c r="M56" t="s">
        <v>62</v>
      </c>
      <c r="N56" s="24">
        <v>1</v>
      </c>
    </row>
    <row r="57" spans="2:14" x14ac:dyDescent="0.25">
      <c r="G57" s="24"/>
      <c r="M57" t="s">
        <v>63</v>
      </c>
      <c r="N57" s="24">
        <v>1</v>
      </c>
    </row>
    <row r="58" spans="2:14" x14ac:dyDescent="0.25">
      <c r="G58" s="24"/>
      <c r="M58" t="s">
        <v>73</v>
      </c>
      <c r="N58" s="24">
        <v>1</v>
      </c>
    </row>
    <row r="59" spans="2:14" x14ac:dyDescent="0.25">
      <c r="G59" s="24"/>
      <c r="M59" t="s">
        <v>64</v>
      </c>
      <c r="N59" s="24">
        <v>1</v>
      </c>
    </row>
    <row r="60" spans="2:14" x14ac:dyDescent="0.25">
      <c r="G60" s="24"/>
      <c r="M60" t="s">
        <v>65</v>
      </c>
      <c r="N60" s="24">
        <v>1</v>
      </c>
    </row>
    <row r="61" spans="2:14" x14ac:dyDescent="0.25">
      <c r="G61" s="24"/>
      <c r="L61" t="s">
        <v>284</v>
      </c>
      <c r="N61" s="24">
        <v>6</v>
      </c>
    </row>
    <row r="62" spans="2:14" x14ac:dyDescent="0.25">
      <c r="G62" s="24"/>
      <c r="K62" t="s">
        <v>242</v>
      </c>
      <c r="N62" s="24">
        <v>8</v>
      </c>
    </row>
    <row r="63" spans="2:14" x14ac:dyDescent="0.25">
      <c r="G63" s="24"/>
      <c r="K63" t="s">
        <v>66</v>
      </c>
      <c r="L63" t="s">
        <v>19</v>
      </c>
      <c r="M63" t="s">
        <v>89</v>
      </c>
      <c r="N63" s="24">
        <v>1</v>
      </c>
    </row>
    <row r="64" spans="2:14" x14ac:dyDescent="0.25">
      <c r="G64" s="24"/>
      <c r="M64" t="s">
        <v>163</v>
      </c>
      <c r="N64" s="24">
        <v>1</v>
      </c>
    </row>
    <row r="65" spans="7:14" x14ac:dyDescent="0.25">
      <c r="G65" s="24"/>
      <c r="M65" t="s">
        <v>34</v>
      </c>
      <c r="N65" s="24">
        <v>1</v>
      </c>
    </row>
    <row r="66" spans="7:14" x14ac:dyDescent="0.25">
      <c r="G66" s="24"/>
      <c r="M66" t="s">
        <v>90</v>
      </c>
      <c r="N66" s="24">
        <v>1</v>
      </c>
    </row>
    <row r="67" spans="7:14" x14ac:dyDescent="0.25">
      <c r="G67" s="24"/>
      <c r="M67" t="s">
        <v>91</v>
      </c>
      <c r="N67" s="24">
        <v>1</v>
      </c>
    </row>
    <row r="68" spans="7:14" x14ac:dyDescent="0.25">
      <c r="G68" s="24"/>
      <c r="M68" t="s">
        <v>71</v>
      </c>
      <c r="N68" s="24">
        <v>1</v>
      </c>
    </row>
    <row r="69" spans="7:14" x14ac:dyDescent="0.25">
      <c r="G69" s="24"/>
      <c r="M69" t="s">
        <v>94</v>
      </c>
      <c r="N69" s="24">
        <v>1</v>
      </c>
    </row>
    <row r="70" spans="7:14" x14ac:dyDescent="0.25">
      <c r="G70" s="24"/>
      <c r="M70" t="s">
        <v>95</v>
      </c>
      <c r="N70" s="24">
        <v>1</v>
      </c>
    </row>
    <row r="71" spans="7:14" x14ac:dyDescent="0.25">
      <c r="G71" s="24"/>
      <c r="M71" t="s">
        <v>96</v>
      </c>
      <c r="N71" s="24">
        <v>1</v>
      </c>
    </row>
    <row r="72" spans="7:14" x14ac:dyDescent="0.25">
      <c r="G72" s="24"/>
      <c r="L72" t="s">
        <v>284</v>
      </c>
      <c r="N72" s="24">
        <v>9</v>
      </c>
    </row>
    <row r="73" spans="7:14" x14ac:dyDescent="0.25">
      <c r="G73" s="24"/>
      <c r="K73" t="s">
        <v>247</v>
      </c>
      <c r="N73" s="24">
        <v>9</v>
      </c>
    </row>
    <row r="74" spans="7:14" x14ac:dyDescent="0.25">
      <c r="G74" s="24"/>
      <c r="K74" t="s">
        <v>10</v>
      </c>
      <c r="L74" t="s">
        <v>20</v>
      </c>
      <c r="M74" t="s">
        <v>23</v>
      </c>
      <c r="N74" s="24">
        <v>1</v>
      </c>
    </row>
    <row r="75" spans="7:14" x14ac:dyDescent="0.25">
      <c r="G75" s="24"/>
      <c r="M75" t="s">
        <v>26</v>
      </c>
      <c r="N75" s="24">
        <v>1</v>
      </c>
    </row>
    <row r="76" spans="7:14" x14ac:dyDescent="0.25">
      <c r="G76" s="24"/>
      <c r="M76" t="s">
        <v>27</v>
      </c>
      <c r="N76" s="24">
        <v>1</v>
      </c>
    </row>
    <row r="77" spans="7:14" x14ac:dyDescent="0.25">
      <c r="G77" s="24"/>
      <c r="L77" t="s">
        <v>283</v>
      </c>
      <c r="N77" s="24">
        <v>3</v>
      </c>
    </row>
    <row r="78" spans="7:14" x14ac:dyDescent="0.25">
      <c r="G78" s="24"/>
      <c r="L78" t="s">
        <v>19</v>
      </c>
      <c r="M78" t="s">
        <v>21</v>
      </c>
      <c r="N78" s="24">
        <v>1</v>
      </c>
    </row>
    <row r="79" spans="7:14" x14ac:dyDescent="0.25">
      <c r="G79" s="24"/>
      <c r="M79" t="s">
        <v>57</v>
      </c>
      <c r="N79" s="24">
        <v>1</v>
      </c>
    </row>
    <row r="80" spans="7:14" x14ac:dyDescent="0.25">
      <c r="G80" s="24"/>
      <c r="L80" t="s">
        <v>284</v>
      </c>
      <c r="N80" s="24">
        <v>2</v>
      </c>
    </row>
    <row r="81" spans="7:14" x14ac:dyDescent="0.25">
      <c r="G81" s="24"/>
      <c r="K81" t="s">
        <v>248</v>
      </c>
      <c r="N81" s="24">
        <v>5</v>
      </c>
    </row>
    <row r="82" spans="7:14" x14ac:dyDescent="0.25">
      <c r="G82" s="24"/>
      <c r="K82" t="s">
        <v>6</v>
      </c>
      <c r="L82" t="s">
        <v>20</v>
      </c>
      <c r="M82" t="s">
        <v>160</v>
      </c>
      <c r="N82" s="24">
        <v>1</v>
      </c>
    </row>
    <row r="83" spans="7:14" x14ac:dyDescent="0.25">
      <c r="G83" s="24"/>
      <c r="M83" t="s">
        <v>168</v>
      </c>
      <c r="N83" s="24">
        <v>1</v>
      </c>
    </row>
    <row r="84" spans="7:14" x14ac:dyDescent="0.25">
      <c r="G84" s="24"/>
      <c r="L84" t="s">
        <v>283</v>
      </c>
      <c r="N84" s="24">
        <v>2</v>
      </c>
    </row>
    <row r="85" spans="7:14" x14ac:dyDescent="0.25">
      <c r="G85" s="24"/>
      <c r="L85" t="s">
        <v>19</v>
      </c>
      <c r="M85" t="s">
        <v>37</v>
      </c>
      <c r="N85" s="24">
        <v>1</v>
      </c>
    </row>
    <row r="86" spans="7:14" x14ac:dyDescent="0.25">
      <c r="G86" s="24"/>
      <c r="M86" t="s">
        <v>83</v>
      </c>
      <c r="N86" s="24">
        <v>1</v>
      </c>
    </row>
    <row r="87" spans="7:14" x14ac:dyDescent="0.25">
      <c r="G87" s="24"/>
      <c r="M87" t="s">
        <v>162</v>
      </c>
      <c r="N87" s="24">
        <v>1</v>
      </c>
    </row>
    <row r="88" spans="7:14" x14ac:dyDescent="0.25">
      <c r="G88" s="24"/>
      <c r="M88" t="s">
        <v>38</v>
      </c>
      <c r="N88" s="24">
        <v>1</v>
      </c>
    </row>
    <row r="89" spans="7:14" x14ac:dyDescent="0.25">
      <c r="G89" s="24"/>
      <c r="M89" t="s">
        <v>12</v>
      </c>
      <c r="N89" s="24">
        <v>1</v>
      </c>
    </row>
    <row r="90" spans="7:14" x14ac:dyDescent="0.25">
      <c r="G90" s="24"/>
      <c r="M90" t="s">
        <v>39</v>
      </c>
      <c r="N90" s="24">
        <v>1</v>
      </c>
    </row>
    <row r="91" spans="7:14" x14ac:dyDescent="0.25">
      <c r="G91" s="24"/>
      <c r="M91" t="s">
        <v>68</v>
      </c>
      <c r="N91" s="24">
        <v>1</v>
      </c>
    </row>
    <row r="92" spans="7:14" x14ac:dyDescent="0.25">
      <c r="G92" s="24"/>
      <c r="M92" t="s">
        <v>84</v>
      </c>
      <c r="N92" s="24">
        <v>1</v>
      </c>
    </row>
    <row r="93" spans="7:14" x14ac:dyDescent="0.25">
      <c r="G93" s="24"/>
      <c r="M93" t="s">
        <v>85</v>
      </c>
      <c r="N93" s="24">
        <v>1</v>
      </c>
    </row>
    <row r="94" spans="7:14" x14ac:dyDescent="0.25">
      <c r="G94" s="24"/>
      <c r="M94" t="s">
        <v>40</v>
      </c>
      <c r="N94" s="24">
        <v>1</v>
      </c>
    </row>
    <row r="95" spans="7:14" x14ac:dyDescent="0.25">
      <c r="G95" s="24"/>
      <c r="M95" t="s">
        <v>10</v>
      </c>
      <c r="N95" s="24">
        <v>1</v>
      </c>
    </row>
    <row r="96" spans="7:14" x14ac:dyDescent="0.25">
      <c r="G96" s="24"/>
      <c r="M96" t="s">
        <v>87</v>
      </c>
      <c r="N96" s="24">
        <v>1</v>
      </c>
    </row>
    <row r="97" spans="7:14" x14ac:dyDescent="0.25">
      <c r="G97" s="24"/>
      <c r="M97" t="s">
        <v>88</v>
      </c>
      <c r="N97" s="24">
        <v>1</v>
      </c>
    </row>
    <row r="98" spans="7:14" x14ac:dyDescent="0.25">
      <c r="G98" s="24"/>
      <c r="M98" t="s">
        <v>42</v>
      </c>
      <c r="N98" s="24">
        <v>1</v>
      </c>
    </row>
    <row r="99" spans="7:14" x14ac:dyDescent="0.25">
      <c r="G99" s="24"/>
      <c r="L99" t="s">
        <v>284</v>
      </c>
      <c r="N99" s="24">
        <v>14</v>
      </c>
    </row>
    <row r="100" spans="7:14" x14ac:dyDescent="0.25">
      <c r="G100" s="24"/>
      <c r="K100" t="s">
        <v>249</v>
      </c>
      <c r="N100" s="24">
        <v>16</v>
      </c>
    </row>
    <row r="101" spans="7:14" x14ac:dyDescent="0.25">
      <c r="G101" s="24"/>
      <c r="K101" t="s">
        <v>229</v>
      </c>
      <c r="L101" t="s">
        <v>19</v>
      </c>
      <c r="M101" t="s">
        <v>4</v>
      </c>
      <c r="N101" s="24">
        <v>1</v>
      </c>
    </row>
    <row r="102" spans="7:14" x14ac:dyDescent="0.25">
      <c r="G102" s="24"/>
      <c r="M102" t="s">
        <v>66</v>
      </c>
      <c r="N102" s="24">
        <v>1</v>
      </c>
    </row>
    <row r="103" spans="7:14" x14ac:dyDescent="0.25">
      <c r="G103" s="24"/>
      <c r="M103" t="s">
        <v>6</v>
      </c>
      <c r="N103" s="24">
        <v>1</v>
      </c>
    </row>
    <row r="104" spans="7:14" x14ac:dyDescent="0.25">
      <c r="G104" s="24"/>
      <c r="L104" t="s">
        <v>284</v>
      </c>
      <c r="N104" s="24">
        <v>3</v>
      </c>
    </row>
    <row r="105" spans="7:14" x14ac:dyDescent="0.25">
      <c r="G105" s="24"/>
      <c r="K105" t="s">
        <v>250</v>
      </c>
      <c r="N105" s="24">
        <v>3</v>
      </c>
    </row>
    <row r="106" spans="7:14" x14ac:dyDescent="0.25">
      <c r="G106" s="24"/>
      <c r="K106" t="s">
        <v>225</v>
      </c>
      <c r="L106" t="s">
        <v>20</v>
      </c>
      <c r="M106" t="s">
        <v>189</v>
      </c>
      <c r="N106" s="24">
        <v>1</v>
      </c>
    </row>
    <row r="107" spans="7:14" x14ac:dyDescent="0.25">
      <c r="G107" s="24"/>
      <c r="M107" t="s">
        <v>204</v>
      </c>
      <c r="N107" s="24">
        <v>1</v>
      </c>
    </row>
    <row r="108" spans="7:14" x14ac:dyDescent="0.25">
      <c r="G108" s="24"/>
      <c r="M108" t="s">
        <v>209</v>
      </c>
      <c r="N108" s="24">
        <v>1</v>
      </c>
    </row>
    <row r="109" spans="7:14" x14ac:dyDescent="0.25">
      <c r="G109" s="24"/>
      <c r="M109" t="s">
        <v>112</v>
      </c>
      <c r="N109" s="24">
        <v>9</v>
      </c>
    </row>
    <row r="110" spans="7:14" x14ac:dyDescent="0.25">
      <c r="G110" s="24"/>
      <c r="L110" t="s">
        <v>283</v>
      </c>
      <c r="N110" s="24">
        <v>12</v>
      </c>
    </row>
    <row r="111" spans="7:14" x14ac:dyDescent="0.25">
      <c r="G111" s="24"/>
      <c r="L111" t="s">
        <v>19</v>
      </c>
      <c r="M111" t="s">
        <v>67</v>
      </c>
      <c r="N111" s="24">
        <v>1</v>
      </c>
    </row>
    <row r="112" spans="7:14" x14ac:dyDescent="0.25">
      <c r="G112" s="24"/>
      <c r="M112" t="s">
        <v>54</v>
      </c>
      <c r="N112" s="24">
        <v>1</v>
      </c>
    </row>
    <row r="113" spans="7:14" x14ac:dyDescent="0.25">
      <c r="G113" s="24"/>
      <c r="M113" t="s">
        <v>133</v>
      </c>
      <c r="N113" s="24">
        <v>1</v>
      </c>
    </row>
    <row r="114" spans="7:14" x14ac:dyDescent="0.25">
      <c r="G114" s="24"/>
      <c r="M114" t="s">
        <v>112</v>
      </c>
      <c r="N114" s="24">
        <v>14</v>
      </c>
    </row>
    <row r="115" spans="7:14" x14ac:dyDescent="0.25">
      <c r="G115" s="24"/>
      <c r="M115" t="s">
        <v>59</v>
      </c>
      <c r="N115" s="24">
        <v>1</v>
      </c>
    </row>
    <row r="116" spans="7:14" x14ac:dyDescent="0.25">
      <c r="G116" s="24"/>
      <c r="L116" t="s">
        <v>284</v>
      </c>
      <c r="N116" s="24">
        <v>18</v>
      </c>
    </row>
    <row r="117" spans="7:14" x14ac:dyDescent="0.25">
      <c r="G117" s="24"/>
      <c r="L117" t="s">
        <v>225</v>
      </c>
      <c r="M117" t="s">
        <v>225</v>
      </c>
      <c r="N117" s="24"/>
    </row>
    <row r="118" spans="7:14" x14ac:dyDescent="0.25">
      <c r="G118" s="24"/>
      <c r="L118" t="s">
        <v>251</v>
      </c>
      <c r="N118" s="24"/>
    </row>
    <row r="119" spans="7:14" x14ac:dyDescent="0.25">
      <c r="G119" s="24"/>
      <c r="K119" t="s">
        <v>251</v>
      </c>
      <c r="N119" s="24">
        <v>30</v>
      </c>
    </row>
    <row r="120" spans="7:14" x14ac:dyDescent="0.25">
      <c r="G120" s="24"/>
      <c r="K120" t="s">
        <v>223</v>
      </c>
      <c r="N120" s="24">
        <v>107</v>
      </c>
    </row>
    <row r="121" spans="7:14" x14ac:dyDescent="0.25">
      <c r="G121" s="24"/>
    </row>
    <row r="122" spans="7:14" x14ac:dyDescent="0.25">
      <c r="G122" s="24"/>
    </row>
    <row r="123" spans="7:14" x14ac:dyDescent="0.25">
      <c r="G123" s="24"/>
    </row>
    <row r="124" spans="7:14" x14ac:dyDescent="0.25">
      <c r="G124" s="24"/>
    </row>
    <row r="125" spans="7:14" x14ac:dyDescent="0.25">
      <c r="G125" s="24"/>
    </row>
    <row r="126" spans="7:14" x14ac:dyDescent="0.25">
      <c r="G126" s="24"/>
    </row>
    <row r="127" spans="7:14" x14ac:dyDescent="0.25">
      <c r="G127" s="24"/>
    </row>
    <row r="128" spans="7:14" x14ac:dyDescent="0.25">
      <c r="G128" s="24"/>
    </row>
    <row r="129" spans="7:7" x14ac:dyDescent="0.25">
      <c r="G129" s="24"/>
    </row>
    <row r="130" spans="7:7" x14ac:dyDescent="0.25">
      <c r="G130" s="24"/>
    </row>
    <row r="131" spans="7:7" x14ac:dyDescent="0.25">
      <c r="G131" s="24"/>
    </row>
    <row r="132" spans="7:7" x14ac:dyDescent="0.25">
      <c r="G132" s="24"/>
    </row>
    <row r="133" spans="7:7" x14ac:dyDescent="0.25">
      <c r="G133" s="24"/>
    </row>
    <row r="134" spans="7:7" x14ac:dyDescent="0.25">
      <c r="G134" s="24"/>
    </row>
    <row r="135" spans="7:7" x14ac:dyDescent="0.25">
      <c r="G135" s="24"/>
    </row>
    <row r="136" spans="7:7" x14ac:dyDescent="0.25">
      <c r="G136" s="24"/>
    </row>
    <row r="137" spans="7:7" x14ac:dyDescent="0.25">
      <c r="G137" s="24"/>
    </row>
    <row r="138" spans="7:7" x14ac:dyDescent="0.25">
      <c r="G138" s="24"/>
    </row>
    <row r="139" spans="7:7" x14ac:dyDescent="0.25">
      <c r="G139" s="24"/>
    </row>
    <row r="140" spans="7:7" x14ac:dyDescent="0.25">
      <c r="G140" s="24"/>
    </row>
    <row r="141" spans="7:7" x14ac:dyDescent="0.25">
      <c r="G141" s="24"/>
    </row>
    <row r="142" spans="7:7" x14ac:dyDescent="0.25">
      <c r="G142" s="24"/>
    </row>
    <row r="143" spans="7:7" x14ac:dyDescent="0.25">
      <c r="G143" s="24"/>
    </row>
    <row r="144" spans="7:7" x14ac:dyDescent="0.25">
      <c r="G144" s="24"/>
    </row>
    <row r="161" spans="10:11" x14ac:dyDescent="0.25">
      <c r="J161" s="22" t="s">
        <v>224</v>
      </c>
    </row>
    <row r="162" spans="10:11" x14ac:dyDescent="0.25">
      <c r="J162" s="22" t="s">
        <v>222</v>
      </c>
      <c r="K162" t="s">
        <v>135</v>
      </c>
    </row>
    <row r="163" spans="10:11" x14ac:dyDescent="0.25">
      <c r="J163" s="23" t="s">
        <v>215</v>
      </c>
      <c r="K163" s="24">
        <v>1</v>
      </c>
    </row>
    <row r="164" spans="10:11" x14ac:dyDescent="0.25">
      <c r="J164" s="23" t="s">
        <v>129</v>
      </c>
      <c r="K164" s="24">
        <v>10</v>
      </c>
    </row>
    <row r="165" spans="10:11" x14ac:dyDescent="0.25">
      <c r="J165" s="23" t="s">
        <v>131</v>
      </c>
      <c r="K165" s="24">
        <v>2</v>
      </c>
    </row>
    <row r="166" spans="10:11" x14ac:dyDescent="0.25">
      <c r="J166" s="23" t="s">
        <v>130</v>
      </c>
      <c r="K166" s="24">
        <v>3</v>
      </c>
    </row>
    <row r="167" spans="10:11" x14ac:dyDescent="0.25">
      <c r="J167" s="23" t="s">
        <v>128</v>
      </c>
      <c r="K167" s="24">
        <v>1</v>
      </c>
    </row>
    <row r="168" spans="10:11" x14ac:dyDescent="0.25">
      <c r="J168" s="23" t="s">
        <v>225</v>
      </c>
      <c r="K168" s="24">
        <v>90</v>
      </c>
    </row>
    <row r="169" spans="10:11" x14ac:dyDescent="0.25">
      <c r="J169" s="23" t="s">
        <v>223</v>
      </c>
      <c r="K169" s="24">
        <v>107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9"/>
  <sheetViews>
    <sheetView tabSelected="1" topLeftCell="A29" workbookViewId="0">
      <selection activeCell="D55" sqref="D55"/>
    </sheetView>
  </sheetViews>
  <sheetFormatPr defaultColWidth="11" defaultRowHeight="15.75" x14ac:dyDescent="0.25"/>
  <cols>
    <col min="1" max="1" width="15.5" customWidth="1"/>
    <col min="2" max="2" width="19.875" customWidth="1"/>
    <col min="3" max="3" width="16.5" customWidth="1"/>
    <col min="4" max="4" width="12.375" customWidth="1"/>
    <col min="5" max="5" width="28.5" customWidth="1"/>
    <col min="7" max="7" width="14.875" customWidth="1"/>
    <col min="8" max="8" width="15.5" customWidth="1"/>
    <col min="9" max="9" width="22.375" customWidth="1"/>
    <col min="10" max="10" width="14.375" style="9" customWidth="1"/>
    <col min="11" max="11" width="56.875" customWidth="1"/>
    <col min="12" max="12" width="11" customWidth="1"/>
    <col min="13" max="13" width="13.875" customWidth="1"/>
    <col min="14" max="14" width="25.5" customWidth="1"/>
  </cols>
  <sheetData>
    <row r="1" spans="1:14" x14ac:dyDescent="0.25">
      <c r="A1" s="1" t="s">
        <v>227</v>
      </c>
      <c r="B1" s="1" t="s">
        <v>0</v>
      </c>
      <c r="C1" s="1" t="s">
        <v>228</v>
      </c>
      <c r="D1" s="1" t="s">
        <v>3</v>
      </c>
      <c r="E1" s="1" t="s">
        <v>231</v>
      </c>
      <c r="F1" s="1" t="s">
        <v>2</v>
      </c>
      <c r="G1" s="1" t="s">
        <v>18</v>
      </c>
      <c r="H1" s="1" t="s">
        <v>97</v>
      </c>
      <c r="I1" s="3" t="s">
        <v>285</v>
      </c>
      <c r="J1" s="8" t="s">
        <v>121</v>
      </c>
      <c r="K1" s="1" t="s">
        <v>115</v>
      </c>
      <c r="L1" s="1" t="s">
        <v>164</v>
      </c>
      <c r="M1" s="1" t="s">
        <v>126</v>
      </c>
      <c r="N1" s="1" t="s">
        <v>178</v>
      </c>
    </row>
    <row r="2" spans="1:14" x14ac:dyDescent="0.25">
      <c r="A2" s="25">
        <v>41845.467812499999</v>
      </c>
      <c r="B2" t="s">
        <v>75</v>
      </c>
      <c r="C2" t="s">
        <v>67</v>
      </c>
      <c r="D2" t="s">
        <v>5</v>
      </c>
      <c r="E2" t="s">
        <v>232</v>
      </c>
      <c r="F2" t="s">
        <v>25</v>
      </c>
      <c r="G2" t="s">
        <v>19</v>
      </c>
      <c r="H2" t="s">
        <v>99</v>
      </c>
      <c r="I2" t="s">
        <v>226</v>
      </c>
    </row>
    <row r="3" spans="1:14" x14ac:dyDescent="0.25">
      <c r="A3" s="25">
        <v>41845.441307870373</v>
      </c>
      <c r="B3" t="s">
        <v>4</v>
      </c>
      <c r="C3" t="s">
        <v>229</v>
      </c>
      <c r="D3" t="s">
        <v>5</v>
      </c>
      <c r="E3" t="s">
        <v>233</v>
      </c>
      <c r="F3" t="s">
        <v>13</v>
      </c>
      <c r="G3" t="s">
        <v>19</v>
      </c>
      <c r="H3" t="s">
        <v>111</v>
      </c>
    </row>
    <row r="4" spans="1:14" x14ac:dyDescent="0.25">
      <c r="A4" s="25">
        <v>41845.443449074075</v>
      </c>
      <c r="B4" t="s">
        <v>76</v>
      </c>
      <c r="C4" t="s">
        <v>67</v>
      </c>
      <c r="D4" t="s">
        <v>5</v>
      </c>
      <c r="E4" t="s">
        <v>234</v>
      </c>
      <c r="F4" t="s">
        <v>22</v>
      </c>
      <c r="G4" t="s">
        <v>19</v>
      </c>
      <c r="H4" t="s">
        <v>99</v>
      </c>
    </row>
    <row r="5" spans="1:14" x14ac:dyDescent="0.25">
      <c r="A5" s="25">
        <v>41845.468101851853</v>
      </c>
      <c r="B5" t="s">
        <v>21</v>
      </c>
      <c r="C5" t="s">
        <v>10</v>
      </c>
      <c r="D5" t="s">
        <v>7</v>
      </c>
      <c r="E5" t="s">
        <v>239</v>
      </c>
      <c r="F5" t="s">
        <v>22</v>
      </c>
      <c r="G5" t="s">
        <v>19</v>
      </c>
      <c r="H5" t="s">
        <v>98</v>
      </c>
    </row>
    <row r="6" spans="1:14" x14ac:dyDescent="0.25">
      <c r="A6" s="25">
        <v>41845.44159722222</v>
      </c>
      <c r="B6" t="s">
        <v>167</v>
      </c>
      <c r="C6" t="s">
        <v>4</v>
      </c>
      <c r="D6" t="s">
        <v>5</v>
      </c>
      <c r="E6" t="s">
        <v>235</v>
      </c>
      <c r="F6" t="s">
        <v>33</v>
      </c>
      <c r="G6" t="s">
        <v>20</v>
      </c>
      <c r="H6" t="s">
        <v>105</v>
      </c>
      <c r="I6" t="s">
        <v>198</v>
      </c>
      <c r="J6" s="9">
        <v>11945</v>
      </c>
      <c r="K6" t="s">
        <v>161</v>
      </c>
      <c r="L6" s="14">
        <v>41736</v>
      </c>
      <c r="M6" t="s">
        <v>129</v>
      </c>
      <c r="N6" t="s">
        <v>179</v>
      </c>
    </row>
    <row r="7" spans="1:14" x14ac:dyDescent="0.25">
      <c r="A7" s="25">
        <v>41845.453576388885</v>
      </c>
      <c r="B7" t="s">
        <v>73</v>
      </c>
      <c r="C7" t="s">
        <v>15</v>
      </c>
      <c r="D7" t="s">
        <v>9</v>
      </c>
      <c r="E7" t="s">
        <v>236</v>
      </c>
      <c r="F7" t="s">
        <v>17</v>
      </c>
      <c r="G7" t="s">
        <v>19</v>
      </c>
      <c r="H7" t="s">
        <v>103</v>
      </c>
      <c r="K7" t="s">
        <v>213</v>
      </c>
    </row>
    <row r="8" spans="1:14" x14ac:dyDescent="0.25">
      <c r="A8" s="25">
        <v>41845.453611111108</v>
      </c>
      <c r="B8" t="s">
        <v>64</v>
      </c>
      <c r="C8" t="s">
        <v>15</v>
      </c>
      <c r="D8" t="s">
        <v>9</v>
      </c>
      <c r="E8" t="s">
        <v>234</v>
      </c>
      <c r="F8" t="s">
        <v>22</v>
      </c>
      <c r="G8" t="s">
        <v>19</v>
      </c>
      <c r="H8" t="s">
        <v>101</v>
      </c>
    </row>
    <row r="9" spans="1:14" x14ac:dyDescent="0.25">
      <c r="A9" s="25">
        <v>41845.449976851851</v>
      </c>
      <c r="B9" t="s">
        <v>35</v>
      </c>
      <c r="C9" t="s">
        <v>12</v>
      </c>
      <c r="D9" t="s">
        <v>7</v>
      </c>
      <c r="E9" t="s">
        <v>234</v>
      </c>
      <c r="F9" t="s">
        <v>22</v>
      </c>
      <c r="G9" t="s">
        <v>19</v>
      </c>
      <c r="H9" t="s">
        <v>99</v>
      </c>
    </row>
    <row r="10" spans="1:14" x14ac:dyDescent="0.25">
      <c r="A10" s="25">
        <v>41850.396064814813</v>
      </c>
      <c r="B10" s="2" t="s">
        <v>266</v>
      </c>
      <c r="C10" s="2"/>
      <c r="D10" s="26" t="s">
        <v>279</v>
      </c>
      <c r="E10" s="2" t="s">
        <v>235</v>
      </c>
      <c r="F10" s="2" t="s">
        <v>33</v>
      </c>
      <c r="G10" s="2" t="s">
        <v>19</v>
      </c>
      <c r="H10" s="26" t="s">
        <v>279</v>
      </c>
      <c r="I10" s="2" t="s">
        <v>206</v>
      </c>
      <c r="J10" s="18">
        <v>13240</v>
      </c>
      <c r="K10" s="2" t="s">
        <v>208</v>
      </c>
      <c r="L10" s="14"/>
      <c r="M10" s="2"/>
    </row>
    <row r="11" spans="1:14" x14ac:dyDescent="0.25">
      <c r="A11" s="25">
        <v>41845.47997685185</v>
      </c>
      <c r="B11" s="2" t="s">
        <v>259</v>
      </c>
      <c r="C11" s="2"/>
      <c r="D11" s="2" t="s">
        <v>9</v>
      </c>
      <c r="E11" s="2" t="s">
        <v>235</v>
      </c>
      <c r="F11" s="2" t="s">
        <v>33</v>
      </c>
      <c r="G11" s="2" t="s">
        <v>19</v>
      </c>
      <c r="H11" s="2" t="s">
        <v>103</v>
      </c>
      <c r="I11" s="2" t="s">
        <v>206</v>
      </c>
      <c r="J11" s="18">
        <v>13239</v>
      </c>
      <c r="K11" s="2" t="s">
        <v>207</v>
      </c>
      <c r="L11" s="14"/>
      <c r="M11" s="2"/>
    </row>
    <row r="12" spans="1:14" x14ac:dyDescent="0.25">
      <c r="A12" s="25">
        <v>41845.480416666665</v>
      </c>
      <c r="B12" t="s">
        <v>269</v>
      </c>
      <c r="D12" s="2" t="s">
        <v>106</v>
      </c>
      <c r="E12" s="2" t="s">
        <v>234</v>
      </c>
      <c r="F12" s="2" t="s">
        <v>22</v>
      </c>
      <c r="G12" s="2" t="s">
        <v>19</v>
      </c>
      <c r="H12" s="2" t="s">
        <v>106</v>
      </c>
      <c r="I12" s="2" t="s">
        <v>206</v>
      </c>
      <c r="J12" s="15">
        <v>13237</v>
      </c>
      <c r="K12" s="2" t="s">
        <v>205</v>
      </c>
      <c r="L12" s="14"/>
      <c r="M12" s="2"/>
    </row>
    <row r="13" spans="1:14" x14ac:dyDescent="0.25">
      <c r="A13" s="25">
        <v>41845.480439814812</v>
      </c>
      <c r="B13" s="2" t="s">
        <v>270</v>
      </c>
      <c r="C13" s="2"/>
      <c r="D13" s="2" t="s">
        <v>106</v>
      </c>
      <c r="E13" s="2" t="s">
        <v>234</v>
      </c>
      <c r="F13" s="2" t="s">
        <v>22</v>
      </c>
      <c r="G13" s="2" t="s">
        <v>19</v>
      </c>
      <c r="H13" s="2" t="s">
        <v>106</v>
      </c>
      <c r="I13" s="2" t="s">
        <v>206</v>
      </c>
      <c r="J13" s="18">
        <v>13238</v>
      </c>
      <c r="K13" s="2" t="s">
        <v>207</v>
      </c>
      <c r="L13" s="14"/>
      <c r="M13" s="2"/>
    </row>
    <row r="14" spans="1:14" x14ac:dyDescent="0.25">
      <c r="A14" s="25">
        <v>41850.342534722222</v>
      </c>
      <c r="B14" t="s">
        <v>254</v>
      </c>
      <c r="D14" s="2" t="s">
        <v>9</v>
      </c>
      <c r="E14" s="2" t="s">
        <v>232</v>
      </c>
      <c r="F14" s="2" t="s">
        <v>25</v>
      </c>
      <c r="G14" s="2" t="s">
        <v>19</v>
      </c>
      <c r="H14" s="2" t="s">
        <v>100</v>
      </c>
      <c r="I14" s="2" t="s">
        <v>113</v>
      </c>
      <c r="J14" s="9">
        <v>13171</v>
      </c>
      <c r="K14" s="2" t="s">
        <v>272</v>
      </c>
    </row>
    <row r="15" spans="1:14" x14ac:dyDescent="0.25">
      <c r="A15" s="25">
        <v>41849.80028935185</v>
      </c>
      <c r="B15" s="2" t="s">
        <v>256</v>
      </c>
      <c r="C15" s="2"/>
      <c r="D15" s="2" t="s">
        <v>9</v>
      </c>
      <c r="E15" s="2" t="s">
        <v>235</v>
      </c>
      <c r="F15" s="2" t="s">
        <v>33</v>
      </c>
      <c r="G15" s="2" t="s">
        <v>20</v>
      </c>
      <c r="H15" s="2" t="s">
        <v>101</v>
      </c>
      <c r="I15" s="2" t="s">
        <v>113</v>
      </c>
      <c r="J15" s="9">
        <v>13172</v>
      </c>
      <c r="K15" s="2" t="s">
        <v>273</v>
      </c>
    </row>
    <row r="16" spans="1:14" x14ac:dyDescent="0.25">
      <c r="A16" s="25">
        <v>41849.801400462966</v>
      </c>
      <c r="B16" s="2" t="s">
        <v>257</v>
      </c>
      <c r="C16" s="2"/>
      <c r="D16" s="2" t="s">
        <v>9</v>
      </c>
      <c r="E16" s="2" t="s">
        <v>234</v>
      </c>
      <c r="F16" s="2" t="s">
        <v>22</v>
      </c>
      <c r="G16" s="2" t="s">
        <v>19</v>
      </c>
      <c r="H16" s="2" t="s">
        <v>99</v>
      </c>
      <c r="I16" s="2" t="s">
        <v>113</v>
      </c>
      <c r="J16" s="15"/>
      <c r="K16" s="2" t="s">
        <v>274</v>
      </c>
    </row>
    <row r="17" spans="1:13" x14ac:dyDescent="0.25">
      <c r="A17" s="25">
        <v>41845.480023148149</v>
      </c>
      <c r="B17" t="s">
        <v>261</v>
      </c>
      <c r="D17" s="2" t="s">
        <v>7</v>
      </c>
      <c r="E17" s="2" t="s">
        <v>235</v>
      </c>
      <c r="F17" s="2" t="s">
        <v>33</v>
      </c>
      <c r="G17" s="2" t="s">
        <v>19</v>
      </c>
      <c r="H17" s="2" t="s">
        <v>99</v>
      </c>
      <c r="I17" s="2" t="s">
        <v>113</v>
      </c>
      <c r="J17" s="9">
        <v>12829</v>
      </c>
      <c r="K17" s="2" t="s">
        <v>192</v>
      </c>
      <c r="L17" s="14"/>
      <c r="M17" s="2"/>
    </row>
    <row r="18" spans="1:13" x14ac:dyDescent="0.25">
      <c r="A18" s="25">
        <v>41845.479837962965</v>
      </c>
      <c r="B18" s="2" t="s">
        <v>252</v>
      </c>
      <c r="C18" s="2"/>
      <c r="D18" s="2" t="s">
        <v>230</v>
      </c>
      <c r="E18" s="2" t="s">
        <v>232</v>
      </c>
      <c r="F18" s="2" t="s">
        <v>25</v>
      </c>
      <c r="G18" s="2" t="s">
        <v>20</v>
      </c>
      <c r="H18" s="2" t="s">
        <v>104</v>
      </c>
      <c r="I18" s="2" t="s">
        <v>113</v>
      </c>
      <c r="J18" s="9">
        <v>12372</v>
      </c>
      <c r="K18" s="2" t="s">
        <v>193</v>
      </c>
      <c r="L18" s="16"/>
    </row>
    <row r="19" spans="1:13" x14ac:dyDescent="0.25">
      <c r="A19" s="25">
        <v>41850.3434375</v>
      </c>
      <c r="B19" t="s">
        <v>253</v>
      </c>
      <c r="C19" s="2"/>
      <c r="D19" s="26" t="s">
        <v>279</v>
      </c>
      <c r="E19" s="2" t="s">
        <v>236</v>
      </c>
      <c r="F19" s="2" t="s">
        <v>17</v>
      </c>
      <c r="G19" s="2" t="s">
        <v>20</v>
      </c>
      <c r="H19" s="26" t="s">
        <v>279</v>
      </c>
      <c r="I19" s="2" t="s">
        <v>113</v>
      </c>
      <c r="J19" s="9">
        <v>11952</v>
      </c>
      <c r="K19" s="2" t="s">
        <v>281</v>
      </c>
      <c r="L19" s="2"/>
      <c r="M19" s="2"/>
    </row>
    <row r="20" spans="1:13" x14ac:dyDescent="0.25">
      <c r="A20" s="25">
        <v>41850.344328703701</v>
      </c>
      <c r="B20" s="2" t="s">
        <v>271</v>
      </c>
      <c r="C20" s="2"/>
      <c r="D20" t="s">
        <v>9</v>
      </c>
      <c r="E20" s="2" t="s">
        <v>234</v>
      </c>
      <c r="F20" s="2" t="s">
        <v>22</v>
      </c>
      <c r="G20" s="2" t="s">
        <v>19</v>
      </c>
      <c r="H20" t="s">
        <v>105</v>
      </c>
      <c r="I20" s="2" t="s">
        <v>113</v>
      </c>
      <c r="J20" s="17">
        <v>12455</v>
      </c>
      <c r="K20" s="2" t="s">
        <v>282</v>
      </c>
      <c r="M20" t="s">
        <v>129</v>
      </c>
    </row>
    <row r="21" spans="1:13" x14ac:dyDescent="0.25">
      <c r="A21" s="25">
        <v>41850.339942129627</v>
      </c>
      <c r="B21" s="2" t="s">
        <v>258</v>
      </c>
      <c r="C21" s="2"/>
      <c r="D21" s="2" t="s">
        <v>9</v>
      </c>
      <c r="E21" s="2" t="s">
        <v>232</v>
      </c>
      <c r="F21" s="2" t="s">
        <v>25</v>
      </c>
      <c r="G21" s="2" t="s">
        <v>20</v>
      </c>
      <c r="H21" s="2" t="s">
        <v>103</v>
      </c>
      <c r="I21" s="2" t="s">
        <v>113</v>
      </c>
      <c r="J21" s="15"/>
      <c r="K21" s="2" t="s">
        <v>280</v>
      </c>
    </row>
    <row r="22" spans="1:13" x14ac:dyDescent="0.25">
      <c r="A22" s="25">
        <v>41849.807164351849</v>
      </c>
      <c r="B22" s="2" t="s">
        <v>277</v>
      </c>
      <c r="C22" s="2"/>
      <c r="D22" s="2" t="s">
        <v>5</v>
      </c>
      <c r="E22" s="2" t="s">
        <v>232</v>
      </c>
      <c r="F22" s="2" t="s">
        <v>25</v>
      </c>
      <c r="G22" s="2" t="s">
        <v>20</v>
      </c>
      <c r="H22" s="2" t="s">
        <v>100</v>
      </c>
      <c r="I22" s="2" t="s">
        <v>158</v>
      </c>
      <c r="J22" s="15"/>
      <c r="K22" s="2" t="s">
        <v>278</v>
      </c>
    </row>
    <row r="23" spans="1:13" x14ac:dyDescent="0.25">
      <c r="A23" s="25">
        <v>41849.860798611109</v>
      </c>
      <c r="B23" s="2" t="s">
        <v>263</v>
      </c>
      <c r="C23" s="2"/>
      <c r="D23" s="2" t="s">
        <v>9</v>
      </c>
      <c r="E23" s="2" t="s">
        <v>232</v>
      </c>
      <c r="F23" s="2" t="s">
        <v>25</v>
      </c>
      <c r="G23" s="2" t="s">
        <v>19</v>
      </c>
      <c r="H23" s="2" t="s">
        <v>99</v>
      </c>
      <c r="I23" s="2" t="s">
        <v>158</v>
      </c>
      <c r="J23" s="17">
        <v>12706</v>
      </c>
      <c r="K23" s="2" t="s">
        <v>275</v>
      </c>
    </row>
    <row r="24" spans="1:13" x14ac:dyDescent="0.25">
      <c r="A24" s="25">
        <v>41852.427152777775</v>
      </c>
      <c r="B24" s="2" t="s">
        <v>264</v>
      </c>
      <c r="C24" s="2"/>
      <c r="D24" s="26" t="s">
        <v>279</v>
      </c>
      <c r="E24" s="2" t="s">
        <v>238</v>
      </c>
      <c r="F24" s="2" t="s">
        <v>11</v>
      </c>
      <c r="G24" s="2" t="s">
        <v>19</v>
      </c>
      <c r="H24" s="26" t="s">
        <v>279</v>
      </c>
      <c r="I24" t="s">
        <v>290</v>
      </c>
      <c r="J24" s="18">
        <v>11940</v>
      </c>
      <c r="K24" s="2" t="s">
        <v>194</v>
      </c>
    </row>
    <row r="25" spans="1:13" x14ac:dyDescent="0.25">
      <c r="A25" s="25">
        <v>41845.480046296296</v>
      </c>
      <c r="B25" s="20" t="s">
        <v>262</v>
      </c>
      <c r="C25" s="20"/>
      <c r="D25" t="s">
        <v>7</v>
      </c>
      <c r="E25" t="s">
        <v>235</v>
      </c>
      <c r="F25" t="s">
        <v>33</v>
      </c>
      <c r="G25" t="s">
        <v>19</v>
      </c>
      <c r="H25" t="s">
        <v>105</v>
      </c>
      <c r="I25" t="s">
        <v>197</v>
      </c>
      <c r="J25" s="18">
        <v>11948</v>
      </c>
      <c r="K25" t="s">
        <v>195</v>
      </c>
    </row>
    <row r="26" spans="1:13" x14ac:dyDescent="0.25">
      <c r="A26" s="25">
        <v>41845.480092592596</v>
      </c>
      <c r="B26" s="2" t="s">
        <v>265</v>
      </c>
      <c r="C26" s="2"/>
      <c r="D26" s="2" t="s">
        <v>5</v>
      </c>
      <c r="E26" s="2" t="s">
        <v>235</v>
      </c>
      <c r="F26" s="2" t="s">
        <v>33</v>
      </c>
      <c r="G26" s="2" t="s">
        <v>20</v>
      </c>
      <c r="H26" s="2" t="s">
        <v>105</v>
      </c>
      <c r="I26" t="s">
        <v>197</v>
      </c>
      <c r="J26" s="18">
        <v>11957</v>
      </c>
      <c r="K26" s="2" t="s">
        <v>196</v>
      </c>
      <c r="L26" s="16"/>
    </row>
    <row r="27" spans="1:13" x14ac:dyDescent="0.25">
      <c r="A27" s="25">
        <v>41852.423958333333</v>
      </c>
      <c r="B27" t="s">
        <v>289</v>
      </c>
      <c r="D27" t="s">
        <v>9</v>
      </c>
      <c r="E27" t="s">
        <v>236</v>
      </c>
      <c r="F27" t="s">
        <v>17</v>
      </c>
      <c r="G27" t="s">
        <v>20</v>
      </c>
      <c r="H27" t="s">
        <v>100</v>
      </c>
      <c r="I27" t="s">
        <v>198</v>
      </c>
      <c r="J27" s="9">
        <v>11959</v>
      </c>
      <c r="K27" s="27"/>
      <c r="L27" s="14">
        <v>41862</v>
      </c>
      <c r="M27" t="s">
        <v>131</v>
      </c>
    </row>
    <row r="28" spans="1:13" x14ac:dyDescent="0.25">
      <c r="A28" s="25">
        <v>41851.821064814816</v>
      </c>
      <c r="B28" s="2" t="s">
        <v>267</v>
      </c>
      <c r="C28" s="2"/>
      <c r="D28" s="2" t="s">
        <v>202</v>
      </c>
      <c r="E28" s="2" t="s">
        <v>232</v>
      </c>
      <c r="F28" s="2" t="s">
        <v>25</v>
      </c>
      <c r="G28" s="2" t="s">
        <v>20</v>
      </c>
      <c r="H28" s="2" t="s">
        <v>100</v>
      </c>
      <c r="I28" s="2" t="s">
        <v>201</v>
      </c>
      <c r="J28" s="18">
        <v>13363</v>
      </c>
      <c r="K28" s="2" t="s">
        <v>288</v>
      </c>
      <c r="L28" s="16"/>
    </row>
    <row r="29" spans="1:13" x14ac:dyDescent="0.25">
      <c r="A29" s="25">
        <v>41851.817256944443</v>
      </c>
      <c r="B29" s="2" t="s">
        <v>268</v>
      </c>
      <c r="C29" s="2"/>
      <c r="D29" s="2" t="s">
        <v>202</v>
      </c>
      <c r="E29" s="2" t="s">
        <v>286</v>
      </c>
      <c r="F29" s="26" t="s">
        <v>25</v>
      </c>
      <c r="G29" s="2" t="s">
        <v>20</v>
      </c>
      <c r="H29" s="2" t="s">
        <v>98</v>
      </c>
      <c r="I29" s="2" t="s">
        <v>201</v>
      </c>
      <c r="J29" s="9">
        <v>13167</v>
      </c>
      <c r="K29" s="2" t="s">
        <v>287</v>
      </c>
      <c r="L29" s="16"/>
    </row>
    <row r="30" spans="1:13" x14ac:dyDescent="0.25">
      <c r="A30" s="25">
        <v>41849.804780092592</v>
      </c>
      <c r="B30" s="2" t="s">
        <v>260</v>
      </c>
      <c r="C30" s="2"/>
      <c r="D30" s="2" t="s">
        <v>7</v>
      </c>
      <c r="E30" s="2" t="s">
        <v>232</v>
      </c>
      <c r="F30" s="2" t="s">
        <v>25</v>
      </c>
      <c r="G30" s="2" t="s">
        <v>20</v>
      </c>
      <c r="H30" s="2" t="s">
        <v>100</v>
      </c>
      <c r="I30" s="2" t="s">
        <v>181</v>
      </c>
      <c r="J30" s="19">
        <v>12887</v>
      </c>
      <c r="K30" s="2" t="s">
        <v>276</v>
      </c>
      <c r="L30" s="14"/>
      <c r="M30" s="2"/>
    </row>
    <row r="31" spans="1:13" x14ac:dyDescent="0.25">
      <c r="A31" s="25">
        <v>41845.442523148151</v>
      </c>
      <c r="B31" t="s">
        <v>74</v>
      </c>
      <c r="C31" t="s">
        <v>4</v>
      </c>
      <c r="D31" t="s">
        <v>5</v>
      </c>
      <c r="E31" t="s">
        <v>234</v>
      </c>
      <c r="F31" t="s">
        <v>22</v>
      </c>
      <c r="G31" t="s">
        <v>19</v>
      </c>
      <c r="H31" t="s">
        <v>99</v>
      </c>
    </row>
    <row r="32" spans="1:13" x14ac:dyDescent="0.25">
      <c r="A32" s="25">
        <v>41850.287106481483</v>
      </c>
      <c r="B32" t="s">
        <v>81</v>
      </c>
      <c r="C32" t="s">
        <v>67</v>
      </c>
      <c r="D32" t="s">
        <v>5</v>
      </c>
      <c r="E32" t="s">
        <v>235</v>
      </c>
      <c r="F32" t="s">
        <v>33</v>
      </c>
      <c r="G32" t="s">
        <v>19</v>
      </c>
      <c r="H32" t="s">
        <v>99</v>
      </c>
    </row>
    <row r="33" spans="1:14" x14ac:dyDescent="0.25">
      <c r="A33" s="25">
        <v>41849.579953703702</v>
      </c>
      <c r="B33" t="s">
        <v>82</v>
      </c>
      <c r="C33" t="s">
        <v>67</v>
      </c>
      <c r="D33" t="s">
        <v>5</v>
      </c>
      <c r="E33" t="s">
        <v>235</v>
      </c>
      <c r="F33" t="s">
        <v>33</v>
      </c>
      <c r="G33" t="s">
        <v>19</v>
      </c>
      <c r="H33" t="s">
        <v>99</v>
      </c>
    </row>
    <row r="34" spans="1:14" x14ac:dyDescent="0.25">
      <c r="A34" s="25">
        <v>41849.818668981483</v>
      </c>
      <c r="B34" t="s">
        <v>59</v>
      </c>
      <c r="C34" t="s">
        <v>67</v>
      </c>
      <c r="D34" t="s">
        <v>230</v>
      </c>
      <c r="E34" t="s">
        <v>235</v>
      </c>
      <c r="F34" t="s">
        <v>33</v>
      </c>
      <c r="G34" t="s">
        <v>19</v>
      </c>
      <c r="H34" t="s">
        <v>104</v>
      </c>
    </row>
    <row r="35" spans="1:14" x14ac:dyDescent="0.25">
      <c r="A35" s="25">
        <v>41845.468472222223</v>
      </c>
      <c r="B35" s="2" t="s">
        <v>170</v>
      </c>
      <c r="C35" t="s">
        <v>4</v>
      </c>
      <c r="D35" s="2" t="s">
        <v>5</v>
      </c>
      <c r="E35" s="2" t="s">
        <v>239</v>
      </c>
      <c r="F35" s="2" t="s">
        <v>22</v>
      </c>
      <c r="G35" s="2" t="s">
        <v>19</v>
      </c>
      <c r="H35" s="2" t="s">
        <v>98</v>
      </c>
      <c r="I35" t="s">
        <v>197</v>
      </c>
      <c r="J35" s="9">
        <v>11956</v>
      </c>
      <c r="K35" s="2" t="s">
        <v>157</v>
      </c>
      <c r="L35" s="14">
        <v>41765</v>
      </c>
      <c r="M35" s="2" t="s">
        <v>129</v>
      </c>
      <c r="N35" t="s">
        <v>180</v>
      </c>
    </row>
    <row r="36" spans="1:14" x14ac:dyDescent="0.25">
      <c r="A36" s="25">
        <v>41851.548078703701</v>
      </c>
      <c r="B36" t="s">
        <v>28</v>
      </c>
      <c r="C36" t="s">
        <v>14</v>
      </c>
      <c r="D36" t="s">
        <v>9</v>
      </c>
      <c r="E36" t="s">
        <v>240</v>
      </c>
      <c r="F36" t="s">
        <v>25</v>
      </c>
      <c r="G36" t="s">
        <v>19</v>
      </c>
      <c r="H36" t="s">
        <v>98</v>
      </c>
    </row>
    <row r="37" spans="1:14" x14ac:dyDescent="0.25">
      <c r="A37" s="25">
        <v>41845.453715277778</v>
      </c>
      <c r="B37" t="s">
        <v>65</v>
      </c>
      <c r="C37" t="s">
        <v>15</v>
      </c>
      <c r="D37" t="s">
        <v>9</v>
      </c>
      <c r="E37" t="s">
        <v>235</v>
      </c>
      <c r="F37" t="s">
        <v>33</v>
      </c>
      <c r="G37" t="s">
        <v>19</v>
      </c>
      <c r="H37" t="s">
        <v>108</v>
      </c>
    </row>
    <row r="38" spans="1:14" x14ac:dyDescent="0.25">
      <c r="A38" s="25">
        <v>41845.445694444446</v>
      </c>
      <c r="B38" t="s">
        <v>87</v>
      </c>
      <c r="C38" t="s">
        <v>6</v>
      </c>
      <c r="D38" t="s">
        <v>5</v>
      </c>
      <c r="E38" t="s">
        <v>232</v>
      </c>
      <c r="F38" t="s">
        <v>25</v>
      </c>
      <c r="G38" t="s">
        <v>19</v>
      </c>
      <c r="H38" t="s">
        <v>99</v>
      </c>
    </row>
    <row r="39" spans="1:14" x14ac:dyDescent="0.25">
      <c r="A39" s="25">
        <v>41845.445752314816</v>
      </c>
      <c r="B39" t="s">
        <v>88</v>
      </c>
      <c r="C39" t="s">
        <v>6</v>
      </c>
      <c r="D39" t="s">
        <v>5</v>
      </c>
      <c r="E39" t="s">
        <v>232</v>
      </c>
      <c r="F39" t="s">
        <v>25</v>
      </c>
      <c r="G39" t="s">
        <v>19</v>
      </c>
      <c r="H39" t="s">
        <v>99</v>
      </c>
    </row>
    <row r="40" spans="1:14" x14ac:dyDescent="0.25">
      <c r="A40" s="25">
        <v>41845.45108796296</v>
      </c>
      <c r="B40" t="s">
        <v>42</v>
      </c>
      <c r="C40" t="s">
        <v>6</v>
      </c>
      <c r="D40" t="s">
        <v>9</v>
      </c>
      <c r="E40" t="s">
        <v>237</v>
      </c>
      <c r="F40" t="s">
        <v>43</v>
      </c>
      <c r="G40" t="s">
        <v>19</v>
      </c>
      <c r="H40" t="s">
        <v>99</v>
      </c>
    </row>
    <row r="50" spans="1:13" x14ac:dyDescent="0.25">
      <c r="B50" s="1" t="s">
        <v>0</v>
      </c>
      <c r="C50" s="1"/>
      <c r="D50" s="1" t="s">
        <v>3</v>
      </c>
      <c r="E50" s="1"/>
      <c r="F50" s="1" t="s">
        <v>2</v>
      </c>
      <c r="G50" s="1" t="s">
        <v>18</v>
      </c>
      <c r="H50" s="1" t="s">
        <v>97</v>
      </c>
      <c r="I50" s="3" t="s">
        <v>109</v>
      </c>
      <c r="J50" s="8" t="s">
        <v>121</v>
      </c>
      <c r="K50" s="1" t="s">
        <v>115</v>
      </c>
      <c r="M50" s="1"/>
    </row>
    <row r="51" spans="1:13" x14ac:dyDescent="0.25">
      <c r="A51" s="25">
        <v>41850.312048611115</v>
      </c>
      <c r="B51" t="s">
        <v>45</v>
      </c>
      <c r="D51" t="s">
        <v>9</v>
      </c>
      <c r="F51" t="s">
        <v>46</v>
      </c>
      <c r="G51" t="s">
        <v>47</v>
      </c>
      <c r="H51" t="s">
        <v>101</v>
      </c>
    </row>
    <row r="52" spans="1:13" x14ac:dyDescent="0.25">
      <c r="B52" t="s">
        <v>186</v>
      </c>
      <c r="D52" t="s">
        <v>9</v>
      </c>
      <c r="F52" t="s">
        <v>46</v>
      </c>
      <c r="G52" t="s">
        <v>47</v>
      </c>
      <c r="H52" t="s">
        <v>98</v>
      </c>
    </row>
    <row r="53" spans="1:13" x14ac:dyDescent="0.25">
      <c r="B53" t="s">
        <v>187</v>
      </c>
      <c r="D53" t="s">
        <v>291</v>
      </c>
      <c r="F53" t="s">
        <v>46</v>
      </c>
      <c r="G53" t="s">
        <v>47</v>
      </c>
      <c r="H53" t="s">
        <v>98</v>
      </c>
    </row>
    <row r="55" spans="1:13" x14ac:dyDescent="0.25">
      <c r="B55" t="s">
        <v>173</v>
      </c>
      <c r="D55" t="s">
        <v>9</v>
      </c>
      <c r="F55" t="s">
        <v>17</v>
      </c>
      <c r="G55" t="s">
        <v>174</v>
      </c>
      <c r="H55" t="s">
        <v>98</v>
      </c>
      <c r="K55" t="s">
        <v>175</v>
      </c>
    </row>
    <row r="56" spans="1:13" x14ac:dyDescent="0.25">
      <c r="B56" t="s">
        <v>190</v>
      </c>
      <c r="D56" t="s">
        <v>104</v>
      </c>
      <c r="F56" t="s">
        <v>17</v>
      </c>
      <c r="G56" t="s">
        <v>174</v>
      </c>
      <c r="H56" t="s">
        <v>104</v>
      </c>
      <c r="K56" t="s">
        <v>191</v>
      </c>
    </row>
    <row r="57" spans="1:13" x14ac:dyDescent="0.25">
      <c r="B57" t="s">
        <v>200</v>
      </c>
      <c r="D57" t="s">
        <v>104</v>
      </c>
      <c r="F57" t="s">
        <v>17</v>
      </c>
      <c r="G57" t="s">
        <v>174</v>
      </c>
      <c r="H57" t="s">
        <v>104</v>
      </c>
      <c r="K57" t="s">
        <v>191</v>
      </c>
    </row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autoFilter ref="A1:N40">
    <sortState ref="A2:N111">
      <sortCondition ref="B1:B111"/>
    </sortState>
  </autoFilter>
  <sortState ref="A77:N101">
    <sortCondition ref="I77:I101"/>
    <sortCondition ref="H77:H101"/>
    <sortCondition ref="D77:D101"/>
  </sortState>
  <phoneticPr fontId="5" type="noConversion"/>
  <dataValidations count="1">
    <dataValidation type="custom" errorStyle="warning" allowBlank="1" showInputMessage="1" showErrorMessage="1" errorTitle="Duplicate Entry" error="All names must be unique." sqref="B1:B1048576">
      <formula1>COUNTIF($B:$B,B1)=1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4"/>
  <sheetViews>
    <sheetView workbookViewId="0">
      <selection activeCell="C12" sqref="C12"/>
    </sheetView>
  </sheetViews>
  <sheetFormatPr defaultColWidth="11" defaultRowHeight="15.75" x14ac:dyDescent="0.25"/>
  <cols>
    <col min="1" max="1" width="25.375" customWidth="1"/>
    <col min="3" max="3" width="9.625" customWidth="1"/>
    <col min="4" max="4" width="11.125" customWidth="1"/>
    <col min="10" max="10" width="14.625" customWidth="1"/>
    <col min="15" max="15" width="15.625" customWidth="1"/>
    <col min="17" max="17" width="50.625" customWidth="1"/>
  </cols>
  <sheetData>
    <row r="1" spans="1:17" x14ac:dyDescent="0.25">
      <c r="C1" s="1" t="s">
        <v>18</v>
      </c>
      <c r="D1" s="1"/>
      <c r="F1" s="9"/>
      <c r="H1" s="1" t="s">
        <v>97</v>
      </c>
      <c r="J1" s="1"/>
      <c r="Q1" s="1" t="s">
        <v>140</v>
      </c>
    </row>
    <row r="2" spans="1:17" x14ac:dyDescent="0.25">
      <c r="F2" s="9"/>
    </row>
    <row r="3" spans="1:17" x14ac:dyDescent="0.25">
      <c r="A3" s="1" t="s">
        <v>1</v>
      </c>
      <c r="B3" s="6" t="s">
        <v>110</v>
      </c>
      <c r="C3" s="6" t="s">
        <v>19</v>
      </c>
      <c r="D3" s="6" t="s">
        <v>20</v>
      </c>
      <c r="F3" s="7" t="s">
        <v>99</v>
      </c>
      <c r="G3" s="5" t="s">
        <v>100</v>
      </c>
      <c r="H3" s="6" t="s">
        <v>98</v>
      </c>
      <c r="I3" s="6" t="s">
        <v>105</v>
      </c>
      <c r="J3" s="3" t="s">
        <v>101</v>
      </c>
      <c r="K3" s="6" t="s">
        <v>103</v>
      </c>
      <c r="L3" s="6" t="s">
        <v>102</v>
      </c>
      <c r="M3" s="6" t="s">
        <v>108</v>
      </c>
      <c r="N3" s="6" t="s">
        <v>111</v>
      </c>
      <c r="O3" s="6" t="s">
        <v>134</v>
      </c>
    </row>
    <row r="4" spans="1:17" x14ac:dyDescent="0.25">
      <c r="A4" t="s">
        <v>117</v>
      </c>
      <c r="B4">
        <f>COUNTIFS(PeopleData!D2:D40, "HCP",PeopleData!B2:B40,"&lt;&gt;TBH*")</f>
        <v>6</v>
      </c>
      <c r="C4">
        <f>COUNTIFS(PeopleData!D2:D40, "HCP",PeopleData!G2:G40,"FTE",PeopleData!B2:B40,"&lt;&gt;TBH*")</f>
        <v>5</v>
      </c>
      <c r="D4">
        <f>COUNTIFS(PeopleData!D2:D40, "HCP",PeopleData!G2:G40,"Consultant",PeopleData!B2:B40,"&lt;&gt;TBH*")</f>
        <v>1</v>
      </c>
      <c r="F4" s="11">
        <f>COUNTIFS(PeopleData!D2:D40, "HCP",PeopleData!H2:H40,"Dev",PeopleData!B2:B40,"&lt;&gt;TBH*")</f>
        <v>1</v>
      </c>
      <c r="G4" s="4">
        <f>COUNTIFS(PeopleData!D2:D40, "HCP",PeopleData!H2:H40,"Auto",PeopleData!B2:B40,"&lt;&gt;TBH*")</f>
        <v>1</v>
      </c>
      <c r="H4" s="4">
        <f>COUNTIFS(PeopleData!D2:D40, "HCP",PeopleData!H2:H40,"QA",PeopleData!B2:B40,"&lt;&gt;TBH*")</f>
        <v>1</v>
      </c>
      <c r="I4" s="4">
        <f>COUNTIFS(PeopleData!D2:D40, "HCP",PeopleData!H2:H40,"PO",PeopleData!B2:B40,"&lt;&gt;TBH*")</f>
        <v>0</v>
      </c>
      <c r="J4" s="4">
        <f>COUNTIFS(PeopleData!D2:D40, "HCP",PeopleData!H2:H40,"Characterization",PeopleData!B2:B40,"&lt;&gt;TBH*")</f>
        <v>1</v>
      </c>
      <c r="K4" s="4">
        <f>COUNTIFS(PeopleData!D2:D40, "HCP",PeopleData!H2:H40,"Sustaining",PeopleData!B2:B40,"&lt;&gt;TBH*")</f>
        <v>1</v>
      </c>
      <c r="L4">
        <f>COUNTIFS(PeopleData!D2:D40, "HCP",PeopleData!H2:H40,"Doc",PeopleData!B2:B40,"&lt;&gt;TBH*")</f>
        <v>0</v>
      </c>
      <c r="M4">
        <f>COUNTIFS(PeopleData!D2:D40, "HCP",PeopleData!H2:H40,"UI",PeopleData!B2:B40,"&lt;&gt;TBH*")</f>
        <v>1</v>
      </c>
      <c r="N4">
        <f>COUNTIFS(PeopleData!D2:D40, "HCP",PeopleData!H2:H40,"Lead",PeopleData!B2:B40,"&lt;&gt;TBH*")</f>
        <v>0</v>
      </c>
      <c r="O4">
        <f>SUM(F4:N4)</f>
        <v>6</v>
      </c>
    </row>
    <row r="5" spans="1:17" x14ac:dyDescent="0.25">
      <c r="A5" t="s">
        <v>138</v>
      </c>
      <c r="B5">
        <f>COUNTIF(PeopleData!D2:D40, "HCP")</f>
        <v>13</v>
      </c>
      <c r="C5">
        <f>COUNTIFS(PeopleData!D2:D40, "HCP",PeopleData!G2:G40,"FTE")</f>
        <v>10</v>
      </c>
      <c r="D5">
        <f>COUNTIFS(PeopleData!D2:D40, "HCP",PeopleData!G2:G40,"Consultant")</f>
        <v>3</v>
      </c>
      <c r="F5" s="11">
        <f>COUNTIFS(PeopleData!D2:D40, "HCP",PeopleData!H2:H40,"Dev")</f>
        <v>3</v>
      </c>
      <c r="G5" s="4">
        <f>COUNTIFS(PeopleData!D2:D40, "HCP",PeopleData!H2:H40,"Auto")</f>
        <v>2</v>
      </c>
      <c r="H5" s="4">
        <f>COUNTIFS(PeopleData!D2:D40, "HCP",PeopleData!H2:H40,"QA")</f>
        <v>1</v>
      </c>
      <c r="I5" s="4">
        <f>COUNTIFS(PeopleData!D2:D40, "HCP",PeopleData!H2:H40,"PO")</f>
        <v>1</v>
      </c>
      <c r="J5" s="4">
        <f>COUNTIFS(PeopleData!D2:D40, "HCP",PeopleData!H2:H40,"Characterization")</f>
        <v>2</v>
      </c>
      <c r="K5" s="4">
        <f>COUNTIFS(PeopleData!D2:D40, "HCP",PeopleData!H2:H40,"Sustaining")</f>
        <v>3</v>
      </c>
      <c r="L5">
        <f>COUNTIFS(PeopleData!D2:D40, "HCP",PeopleData!H2:H40,"Doc")</f>
        <v>0</v>
      </c>
      <c r="M5" s="4">
        <f>COUNTIFS(PeopleData!D2:D40, "HCP",PeopleData!H2:H40,"UI")</f>
        <v>1</v>
      </c>
      <c r="N5" s="4">
        <v>1</v>
      </c>
      <c r="O5">
        <f>SUM(F5:N5)</f>
        <v>14</v>
      </c>
    </row>
    <row r="6" spans="1:17" x14ac:dyDescent="0.25">
      <c r="A6" t="s">
        <v>139</v>
      </c>
      <c r="B6">
        <f>O6</f>
        <v>29</v>
      </c>
      <c r="C6">
        <v>22</v>
      </c>
      <c r="D6">
        <v>6</v>
      </c>
      <c r="F6" s="11">
        <v>9</v>
      </c>
      <c r="G6" s="4">
        <v>6</v>
      </c>
      <c r="H6" s="4">
        <v>3</v>
      </c>
      <c r="I6" s="4">
        <v>2</v>
      </c>
      <c r="J6" s="4">
        <v>2</v>
      </c>
      <c r="K6" s="4">
        <v>4</v>
      </c>
      <c r="L6">
        <v>1</v>
      </c>
      <c r="M6" s="4">
        <v>1</v>
      </c>
      <c r="N6" s="4">
        <v>1</v>
      </c>
      <c r="O6">
        <f>SUM(F6:N6)</f>
        <v>29</v>
      </c>
    </row>
    <row r="7" spans="1:17" x14ac:dyDescent="0.25">
      <c r="F7" s="11"/>
      <c r="G7" s="4"/>
      <c r="H7" s="4"/>
      <c r="I7" s="4"/>
      <c r="J7" s="4"/>
      <c r="K7" s="4"/>
    </row>
    <row r="8" spans="1:17" x14ac:dyDescent="0.25">
      <c r="A8" t="s">
        <v>118</v>
      </c>
      <c r="B8" s="2">
        <f>COUNTIFS(PeopleData!D2:D40, "HCP (Rhino)",PeopleData!B2:B40,"&lt;&gt;TBH*")</f>
        <v>2</v>
      </c>
      <c r="C8">
        <f>COUNTIFS(PeopleData!D2:D40, "HCP (Rhino)",PeopleData!G2:G40,"FTE",PeopleData!B2:B40,"&lt;&gt;TBH*")</f>
        <v>2</v>
      </c>
      <c r="D8">
        <f>COUNTIFS(PeopleData!D2:D40, "HCP (Rhino)",PeopleData!G2:G40,"Consultant",PeopleData!B2:B40,"&lt;&gt;TBH*")</f>
        <v>0</v>
      </c>
      <c r="F8" s="11">
        <f>COUNTIFS(PeopleData!D2:D40, "HCP (Rhino)",PeopleData!H2:H40,"Dev",PeopleData!B2:B40,"&lt;&gt;TBH*")</f>
        <v>1</v>
      </c>
      <c r="G8" s="4">
        <f>COUNTIFS(PeopleData!D2:D40, "HCP (Rhino)",PeopleData!H2:H40,"Auto",PeopleData!B2:B40,"&lt;&gt;TBH*")</f>
        <v>0</v>
      </c>
      <c r="H8" s="4">
        <f>COUNTIFS(PeopleData!D2:D40, "HCP (Rhino)",PeopleData!H2:H40,"QA",PeopleData!B2:B40,"&lt;&gt;TBH*")</f>
        <v>1</v>
      </c>
      <c r="I8" s="4">
        <f>COUNTIFS(PeopleData!D2:D40, "HCP (Rhino)",PeopleData!H2:H40,"PO",PeopleData!B2:B40,"&lt;&gt;TBH*")</f>
        <v>0</v>
      </c>
      <c r="J8" s="4">
        <f>COUNTIFS(PeopleData!D2:D40, "HCP (Rhino)",PeopleData!H2:H40,"Characterization",PeopleData!B2:B40,"&lt;&gt;TBH*")</f>
        <v>0</v>
      </c>
      <c r="K8" s="4">
        <f>COUNTIFS(PeopleData!D2:D40, "HCP (Rhino)",PeopleData!H2:H40,"Sustaining",PeopleData!B2:B40,"&lt;&gt;TBH*")</f>
        <v>0</v>
      </c>
      <c r="L8">
        <f>COUNTIFS(PeopleData!D2:D40, "HCP (Rhino)",PeopleData!H2:H40,"Doc",PeopleData!B2:B40,"&lt;&gt;TBH*")</f>
        <v>0</v>
      </c>
      <c r="M8">
        <f>COUNTIFS(PeopleData!D2:D40, "HCP (Rhino)",PeopleData!H2:H40,"UI",PeopleData!B2:B40,"&lt;&gt;TBH*")</f>
        <v>0</v>
      </c>
      <c r="N8">
        <f>COUNTIFS(PeopleData!D2:D40, "HCP (Rhino)",PeopleData!H2:H40,"Lead",PeopleData!B2:B40,"&lt;&gt;TBH*")</f>
        <v>0</v>
      </c>
      <c r="O8">
        <f>SUM(F8:N8)</f>
        <v>2</v>
      </c>
    </row>
    <row r="9" spans="1:17" x14ac:dyDescent="0.25">
      <c r="A9" t="s">
        <v>148</v>
      </c>
      <c r="B9" s="2">
        <f>COUNTIFS(PeopleData!D2:D40, "HCP (Rhino)")</f>
        <v>5</v>
      </c>
      <c r="C9">
        <f>COUNTIFS(PeopleData!D2:D40, "HCP (Rhino)",PeopleData!G2:G40,"FTE")</f>
        <v>4</v>
      </c>
      <c r="D9">
        <f>COUNTIFS(PeopleData!D2:D40, "HCP (Rhino)",PeopleData!G2:G40,"Consultant")</f>
        <v>1</v>
      </c>
      <c r="F9" s="11">
        <f>COUNTIFS(PeopleData!D2:D40, "HCP (Rhino)",PeopleData!H2:H40,"Dev")</f>
        <v>2</v>
      </c>
      <c r="G9" s="4">
        <f>COUNTIFS(PeopleData!D2:D40, "HCP (Rhino)",PeopleData!H2:H40,"Auto")</f>
        <v>1</v>
      </c>
      <c r="H9" s="4">
        <f>COUNTIFS(PeopleData!D2:D40, "HCP (Rhino)",PeopleData!H2:H40,"QA")</f>
        <v>1</v>
      </c>
      <c r="I9" s="4">
        <f>COUNTIFS(PeopleData!D2:D40, "HCP (Rhino)",PeopleData!H2:H40,"PO")</f>
        <v>1</v>
      </c>
      <c r="J9" s="4">
        <f>COUNTIFS(PeopleData!D2:D40, "HCP (Rhino)",PeopleData!H2:H40,"Characterization")</f>
        <v>0</v>
      </c>
      <c r="K9" s="4">
        <f>COUNTIFS(PeopleData!D2:D40, "HCP (Rhino)",PeopleData!H2:H40,"Sustaining")</f>
        <v>0</v>
      </c>
      <c r="L9">
        <f>COUNTIFS(PeopleData!D2:D40, "HCP (Rhino)",PeopleData!H2:H40,"Doc")</f>
        <v>0</v>
      </c>
      <c r="M9">
        <f>COUNTIFS(PeopleData!D2:D40, "HCP (Rhino)",PeopleData!H2:H40,"UI")</f>
        <v>0</v>
      </c>
      <c r="N9">
        <v>1</v>
      </c>
      <c r="O9">
        <f>SUM(F9:N9)</f>
        <v>6</v>
      </c>
    </row>
    <row r="10" spans="1:17" x14ac:dyDescent="0.25">
      <c r="A10" t="s">
        <v>149</v>
      </c>
      <c r="B10" s="2">
        <f>O10</f>
        <v>23</v>
      </c>
      <c r="C10">
        <v>19</v>
      </c>
      <c r="D10">
        <v>3</v>
      </c>
      <c r="F10" s="11">
        <v>9</v>
      </c>
      <c r="G10" s="4">
        <v>4</v>
      </c>
      <c r="H10" s="4">
        <v>4</v>
      </c>
      <c r="I10" s="4">
        <v>2</v>
      </c>
      <c r="J10" s="4">
        <v>2</v>
      </c>
      <c r="K10" s="4">
        <v>0</v>
      </c>
      <c r="L10">
        <v>1</v>
      </c>
      <c r="M10">
        <v>0</v>
      </c>
      <c r="N10">
        <v>1</v>
      </c>
      <c r="O10">
        <f>SUM(F10:N10)</f>
        <v>23</v>
      </c>
      <c r="Q10" t="s">
        <v>216</v>
      </c>
    </row>
    <row r="11" spans="1:17" x14ac:dyDescent="0.25">
      <c r="B11" s="2"/>
      <c r="F11" s="11"/>
      <c r="G11" s="4"/>
      <c r="H11" s="4"/>
      <c r="I11" s="4"/>
      <c r="J11" s="4"/>
      <c r="K11" s="4"/>
    </row>
    <row r="12" spans="1:17" x14ac:dyDescent="0.25">
      <c r="A12" t="s">
        <v>119</v>
      </c>
      <c r="B12" s="2">
        <f>COUNTIFS(PeopleData!D2:D40, "HCP-AW",PeopleData!B2:B40,"&lt;&gt;TBH*")</f>
        <v>10</v>
      </c>
      <c r="C12">
        <f>COUNTIFS(PeopleData!D2:D40, "HCP-AW",PeopleData!G2:G40,"FTE",PeopleData!B2:B40,"&lt;&gt;TBH*")</f>
        <v>9</v>
      </c>
      <c r="D12">
        <f>COUNTIFS(PeopleData!D2:D40, "HCP-AW",PeopleData!G2:G40,"Consultant",PeopleData!B2:B40,"&lt;&gt;TBH*")</f>
        <v>1</v>
      </c>
      <c r="F12" s="11">
        <f>COUNTIFS(PeopleData!D2:D40, "HCP-AW",PeopleData!H2:H40,"Dev",PeopleData!B2:B40,"&lt;&gt;TBH*")</f>
        <v>7</v>
      </c>
      <c r="G12" s="4">
        <f>COUNTIFS(PeopleData!D2:D40, "HCP-AW",PeopleData!H2:H40,"Auto",PeopleData!B2:B40,"&lt;&gt;TBH*")</f>
        <v>0</v>
      </c>
      <c r="H12" s="4">
        <f>COUNTIFS(PeopleData!D2:D40, "HCP-AW",PeopleData!H2:H40,"QA",PeopleData!B2:B40,"&lt;&gt;TBH*")</f>
        <v>1</v>
      </c>
      <c r="I12" s="4">
        <f>COUNTIFS(PeopleData!D2:D40, "HCP-AW",PeopleData!H2:H40,"PO",PeopleData!B2:B40,"&lt;&gt;TBH*")</f>
        <v>1</v>
      </c>
      <c r="J12" s="4">
        <f>COUNTIFS(PeopleData!D2:D40, "HCP-AW",PeopleData!H2:H40,"Characterization",PeopleData!B2:B40,"&lt;&gt;TBH*")</f>
        <v>0</v>
      </c>
      <c r="K12" s="4">
        <f>COUNTIFS(PeopleData!D2:D40, "HCP-AW",PeopleData!H2:H40,"Sustaining",PeopleData!B2:B40,"&lt;&gt;TBH*")</f>
        <v>0</v>
      </c>
      <c r="L12">
        <f>COUNTIFS(PeopleData!D2:D40, "HCP-AW",PeopleData!H2:H40,"Doc",PeopleData!B2:B40,"&lt;&gt;TBH*")</f>
        <v>0</v>
      </c>
      <c r="M12">
        <f>COUNTIFS(PeopleData!D2:D40, "HCP-AW",PeopleData!H2:H40,"UI",PeopleData!B2:B40,"&lt;&gt;TBH*")</f>
        <v>0</v>
      </c>
      <c r="N12">
        <f>COUNTIFS(PeopleData!D2:D40, "HCP-AW",PeopleData!H2:H40,"Lead",PeopleData!B2:B40,"&lt;&gt;TBH*")</f>
        <v>1</v>
      </c>
      <c r="O12">
        <f>SUM(F12:N12)</f>
        <v>10</v>
      </c>
    </row>
    <row r="13" spans="1:17" x14ac:dyDescent="0.25">
      <c r="A13" t="s">
        <v>150</v>
      </c>
      <c r="B13" s="2">
        <f>COUNTIFS(PeopleData!D2:D40, "HCP-AW")</f>
        <v>12</v>
      </c>
      <c r="C13">
        <f>COUNTIFS(PeopleData!D2:D40, "HCP-AW",PeopleData!G2:G40,"FTE")</f>
        <v>9</v>
      </c>
      <c r="D13">
        <f>COUNTIFS(PeopleData!D2:D40, "HCP-AW",PeopleData!G2:G40,"Consultant")</f>
        <v>3</v>
      </c>
      <c r="F13" s="11">
        <f>COUNTIFS(PeopleData!D2:D40, "HCP-AW",PeopleData!H2:H40,"Dev")</f>
        <v>7</v>
      </c>
      <c r="G13" s="4">
        <f>COUNTIFS(PeopleData!D2:D40, "HCP-AW",PeopleData!H2:H40,"Auto")</f>
        <v>1</v>
      </c>
      <c r="H13" s="4">
        <f>COUNTIFS(PeopleData!D2:D40, "HCP-AW",PeopleData!H2:H40,"QA")</f>
        <v>1</v>
      </c>
      <c r="I13" s="4">
        <f>COUNTIFS(PeopleData!D2:D40, "HCP-AW",PeopleData!H2:H40,"PO")</f>
        <v>2</v>
      </c>
      <c r="J13" s="4">
        <f>COUNTIFS(PeopleData!D2:D40, "HCP-AW",PeopleData!H2:H40,"Characterization")</f>
        <v>0</v>
      </c>
      <c r="K13" s="4">
        <f>COUNTIFS(PeopleData!D2:D40, "HCP-AW",PeopleData!H2:H40,"Sustaining")</f>
        <v>0</v>
      </c>
      <c r="L13">
        <f>COUNTIFS(PeopleData!D2:D40, "HCP-AW",PeopleData!H2:H40,"Doc")</f>
        <v>0</v>
      </c>
      <c r="M13">
        <f>COUNTIFS(PeopleData!D2:D40, "HCP-AW",PeopleData!H2:H40,"UI")</f>
        <v>0</v>
      </c>
      <c r="N13">
        <f>COUNTIFS(PeopleData!D2:D40, "HCP-AW",PeopleData!H2:H40,"Lead")</f>
        <v>1</v>
      </c>
      <c r="O13">
        <f>SUM(F13:N13)</f>
        <v>12</v>
      </c>
    </row>
    <row r="14" spans="1:17" x14ac:dyDescent="0.25">
      <c r="A14" t="s">
        <v>151</v>
      </c>
      <c r="B14" s="2">
        <f>O14</f>
        <v>41</v>
      </c>
      <c r="C14">
        <v>32</v>
      </c>
      <c r="D14">
        <v>6</v>
      </c>
      <c r="F14" s="11">
        <v>17</v>
      </c>
      <c r="G14" s="4">
        <v>4</v>
      </c>
      <c r="H14" s="4">
        <v>8</v>
      </c>
      <c r="I14" s="4">
        <v>5</v>
      </c>
      <c r="J14" s="4">
        <v>3</v>
      </c>
      <c r="K14" s="4">
        <v>1</v>
      </c>
      <c r="L14">
        <v>1</v>
      </c>
      <c r="M14">
        <v>1</v>
      </c>
      <c r="N14">
        <v>1</v>
      </c>
      <c r="O14">
        <f>SUM(F14:N14)</f>
        <v>41</v>
      </c>
    </row>
    <row r="15" spans="1:17" x14ac:dyDescent="0.25">
      <c r="B15" s="2"/>
      <c r="F15" s="11"/>
      <c r="G15" s="4"/>
      <c r="H15" s="4"/>
      <c r="I15" s="4"/>
      <c r="J15" s="4"/>
      <c r="K15" s="4"/>
    </row>
    <row r="16" spans="1:17" x14ac:dyDescent="0.25">
      <c r="A16" t="s">
        <v>210</v>
      </c>
      <c r="B16" s="2">
        <f>COUNTIFS(PeopleData!D5:D43, "HDDS",PeopleData!B5:B43,"&lt;&gt;TBH*")</f>
        <v>0</v>
      </c>
      <c r="C16">
        <f>COUNTIFS(PeopleData!D2:D43, "HDDS",PeopleData!G2:G43,"FTE",PeopleData!B2:B43,"&lt;&gt;TBH*")</f>
        <v>0</v>
      </c>
      <c r="D16">
        <f>COUNTIFS(PeopleData!D2:D43, "HDDS",PeopleData!G2:G43,"Consultant",PeopleData!B2:B43,"&lt;&gt;TBH*")</f>
        <v>0</v>
      </c>
      <c r="F16" s="11">
        <f>COUNTIFS(PeopleData!D2:D43, "HDDS",PeopleData!H2:H43,"Dev",PeopleData!B2:B43,"&lt;&gt;TBH*")</f>
        <v>0</v>
      </c>
      <c r="G16" s="4">
        <f>COUNTIFS(PeopleData!D2:D43, "HDDS",PeopleData!H2:H43,"Auto",PeopleData!B2:B43,"&lt;&gt;TBH*")</f>
        <v>0</v>
      </c>
      <c r="H16" s="4">
        <f>COUNTIFS(PeopleData!D2:D43, "HDDS",PeopleData!H2:H43,"QA",PeopleData!B2:B43,"&lt;&gt;TBH*")</f>
        <v>0</v>
      </c>
      <c r="I16" s="4">
        <f>COUNTIFS(PeopleData!D2:D43, "HDDS",PeopleData!H2:H43,"PO",PeopleData!B2:B43,"&lt;&gt;TBH*")</f>
        <v>0</v>
      </c>
      <c r="J16" s="4">
        <f>COUNTIFS(PeopleData!D2:D43, "HDDS",PeopleData!H2:H43,"Characterization",PeopleData!B2:B43,"&lt;&gt;TBH*")</f>
        <v>0</v>
      </c>
      <c r="K16" s="4">
        <f>COUNTIFS(PeopleData!D2:D43, "HDDS",PeopleData!H2:H43,"Sustaining",PeopleData!B2:B43,"&lt;&gt;TBH*")</f>
        <v>0</v>
      </c>
      <c r="L16">
        <f>COUNTIFS(PeopleData!D2:D43, "HDDS",PeopleData!H2:H43,"Doc",PeopleData!B2:B43,"&lt;&gt;TBH*")</f>
        <v>0</v>
      </c>
      <c r="M16">
        <f>COUNTIFS(PeopleData!D2:D43, "HDDS",PeopleData!H2:H43,"UI",PeopleData!B2:B43,"&lt;&gt;TBH*")</f>
        <v>0</v>
      </c>
      <c r="N16">
        <f>COUNTIFS(PeopleData!D2:D43, "HDDS",PeopleData!H2:H43,"Lead",PeopleData!B2:B43,"&lt;&gt;TBH*")</f>
        <v>0</v>
      </c>
      <c r="O16">
        <f>SUM(F16:N16)</f>
        <v>0</v>
      </c>
    </row>
    <row r="17" spans="1:15" x14ac:dyDescent="0.25">
      <c r="A17" t="s">
        <v>211</v>
      </c>
      <c r="B17" s="2">
        <f>COUNTIFS(PeopleData!D2:D43, "HDDS")</f>
        <v>2</v>
      </c>
      <c r="C17">
        <f>COUNTIFS(PeopleData!D2:D43, "HDDS",PeopleData!G2:G43,"FTE")</f>
        <v>0</v>
      </c>
      <c r="D17">
        <f>COUNTIFS(PeopleData!D2:D43, "HDDS",PeopleData!G2:G43,"Consultant")</f>
        <v>2</v>
      </c>
      <c r="F17" s="11">
        <f>COUNTIFS(PeopleData!D2:D43, "HDDS",PeopleData!H2:H43,"Dev")</f>
        <v>0</v>
      </c>
      <c r="G17" s="4">
        <f>COUNTIFS(PeopleData!D2:D43, "HDDS",PeopleData!H2:H43,"Auto")</f>
        <v>1</v>
      </c>
      <c r="H17" s="4">
        <f>COUNTIFS(PeopleData!D2:D43, "HDDS",PeopleData!H2:H43,"QA")</f>
        <v>1</v>
      </c>
      <c r="I17" s="4">
        <f>COUNTIFS(PeopleData!D2:D43, "HDDS",PeopleData!H2:H43,"PO")</f>
        <v>0</v>
      </c>
      <c r="J17" s="4">
        <f>COUNTIFS(PeopleData!D2:D43, "HDDS",PeopleData!H2:H43,"Characterization")</f>
        <v>0</v>
      </c>
      <c r="K17" s="4">
        <f>COUNTIFS(PeopleData!D2:D43, "HDDS",PeopleData!H2:H43,"Sustaining")</f>
        <v>0</v>
      </c>
      <c r="L17">
        <f>COUNTIFS(PeopleData!D2:D43, "HDDS",PeopleData!H2:H43,"Doc")</f>
        <v>0</v>
      </c>
      <c r="M17">
        <f>COUNTIFS(PeopleData!D2:D43, "HDDS",PeopleData!H2:H43,"UI")</f>
        <v>0</v>
      </c>
      <c r="N17">
        <f>COUNTIFS(PeopleData!D2:D43, "HDDS",PeopleData!H2:H43,"Lead")</f>
        <v>0</v>
      </c>
      <c r="O17">
        <f>SUM(F17:N17)</f>
        <v>2</v>
      </c>
    </row>
    <row r="18" spans="1:15" x14ac:dyDescent="0.25">
      <c r="A18" t="s">
        <v>212</v>
      </c>
      <c r="B18" s="2">
        <v>5</v>
      </c>
      <c r="C18">
        <v>3</v>
      </c>
      <c r="D18">
        <v>2</v>
      </c>
      <c r="F18" s="11">
        <v>2</v>
      </c>
      <c r="G18" s="4">
        <v>1</v>
      </c>
      <c r="H18" s="4">
        <v>1</v>
      </c>
      <c r="I18" s="4">
        <v>1</v>
      </c>
      <c r="J18" s="4">
        <v>0</v>
      </c>
      <c r="K18" s="4">
        <v>0</v>
      </c>
      <c r="L18">
        <v>0</v>
      </c>
      <c r="M18">
        <v>0</v>
      </c>
      <c r="N18">
        <v>0</v>
      </c>
      <c r="O18">
        <f>SUM(F18:N18)</f>
        <v>5</v>
      </c>
    </row>
    <row r="19" spans="1:15" x14ac:dyDescent="0.25">
      <c r="B19" s="2"/>
      <c r="F19" s="11"/>
      <c r="G19" s="4"/>
      <c r="H19" s="4"/>
      <c r="I19" s="4"/>
      <c r="J19" s="4"/>
      <c r="K19" s="4"/>
    </row>
    <row r="20" spans="1:15" x14ac:dyDescent="0.25">
      <c r="A20" t="s">
        <v>219</v>
      </c>
      <c r="B20" s="2">
        <f>COUNTIFS(PeopleData!D2:D43, "DevOps",PeopleData!B2:B43,"&lt;&gt;TBH*")</f>
        <v>0</v>
      </c>
      <c r="C20">
        <f>COUNTIFS(PeopleData!D2:D43, "DevOps",PeopleData!G2:G43,"FTE",PeopleData!B2:B43,"&lt;&gt;TBH*")</f>
        <v>0</v>
      </c>
      <c r="D20">
        <f>COUNTIFS(PeopleData!D2:D43, "HDDS",PeopleData!G2:G43,"Consultant",PeopleData!B2:B43,"&lt;&gt;TBH*")</f>
        <v>0</v>
      </c>
      <c r="F20" s="10"/>
      <c r="G20" s="4"/>
      <c r="O20">
        <f>B20</f>
        <v>0</v>
      </c>
    </row>
    <row r="21" spans="1:15" x14ac:dyDescent="0.25">
      <c r="A21" t="s">
        <v>218</v>
      </c>
      <c r="B21" s="2">
        <f>COUNTIFS(PeopleData!D2:D47, "DevOps")</f>
        <v>0</v>
      </c>
      <c r="C21">
        <f>COUNTIFS(PeopleData!D2:D47, "DevOps",PeopleData!G2:G47,"FTE")</f>
        <v>0</v>
      </c>
      <c r="D21">
        <f>COUNTIFS(PeopleData!D2:D47, "DevOps",PeopleData!G2:G47,"Consultant")</f>
        <v>0</v>
      </c>
      <c r="F21" s="11"/>
      <c r="G21" s="4"/>
      <c r="H21" s="4"/>
      <c r="I21" s="4"/>
      <c r="J21" s="4"/>
      <c r="K21" s="4"/>
      <c r="O21">
        <f>B21</f>
        <v>0</v>
      </c>
    </row>
    <row r="22" spans="1:15" x14ac:dyDescent="0.25">
      <c r="A22" t="s">
        <v>217</v>
      </c>
      <c r="B22" s="2">
        <v>4</v>
      </c>
      <c r="C22">
        <v>3</v>
      </c>
      <c r="D22">
        <v>1</v>
      </c>
      <c r="F22" s="11"/>
      <c r="G22" s="4"/>
      <c r="H22" s="4"/>
      <c r="I22" s="4"/>
      <c r="J22" s="4"/>
      <c r="K22" s="4"/>
      <c r="O22">
        <f>B22</f>
        <v>4</v>
      </c>
    </row>
    <row r="23" spans="1:15" x14ac:dyDescent="0.25">
      <c r="B23" s="2"/>
      <c r="F23" s="10"/>
      <c r="G23" s="4"/>
    </row>
    <row r="24" spans="1:15" x14ac:dyDescent="0.25">
      <c r="A24" t="s">
        <v>132</v>
      </c>
      <c r="B24" s="2">
        <f>COUNTIFS(PeopleData!D2:D40, "Tech",PeopleData!B2:B40,"&lt;&gt;TBH*")</f>
        <v>0</v>
      </c>
      <c r="C24">
        <f>COUNTIFS(PeopleData!D2:D40, "Tech",PeopleData!G2:G40,"FTE",PeopleData!B2:B40,"&lt;&gt;TBH*")</f>
        <v>0</v>
      </c>
      <c r="D24">
        <f>COUNTIFS(PeopleData!D2:D40, "Tech",PeopleData!G2:G40,"Consultant",PeopleData!B2:B40,"&lt;&gt;TBH*")</f>
        <v>0</v>
      </c>
      <c r="F24" s="21" t="s">
        <v>106</v>
      </c>
      <c r="G24" s="6" t="s">
        <v>111</v>
      </c>
      <c r="O24" s="2">
        <f>B24</f>
        <v>0</v>
      </c>
    </row>
    <row r="25" spans="1:15" x14ac:dyDescent="0.25">
      <c r="A25" t="s">
        <v>152</v>
      </c>
      <c r="B25" s="2">
        <f>COUNTIFS(PeopleData!D2:D40, "Tech")</f>
        <v>2</v>
      </c>
      <c r="C25">
        <f>COUNTIFS(PeopleData!D2:D40, "Tech",PeopleData!G2:G40,"FTE")</f>
        <v>2</v>
      </c>
      <c r="D25">
        <f>COUNTIFS(PeopleData!D2:D40, "Tech",PeopleData!G2:G40,"Consultant")</f>
        <v>0</v>
      </c>
      <c r="F25" s="10"/>
      <c r="G25" s="4"/>
      <c r="O25" s="2">
        <f>B25</f>
        <v>2</v>
      </c>
    </row>
    <row r="26" spans="1:15" x14ac:dyDescent="0.25">
      <c r="A26" t="s">
        <v>153</v>
      </c>
      <c r="B26" s="2">
        <v>4</v>
      </c>
      <c r="C26">
        <v>4</v>
      </c>
      <c r="D26">
        <v>0</v>
      </c>
      <c r="F26" s="10">
        <v>3</v>
      </c>
      <c r="G26" s="4">
        <v>1</v>
      </c>
      <c r="O26">
        <f>SUM(F26:N26)</f>
        <v>4</v>
      </c>
    </row>
    <row r="27" spans="1:15" x14ac:dyDescent="0.25">
      <c r="B27" s="2"/>
      <c r="F27" s="10"/>
      <c r="G27" s="4"/>
    </row>
    <row r="28" spans="1:15" x14ac:dyDescent="0.25">
      <c r="A28" t="s">
        <v>143</v>
      </c>
      <c r="B28" s="2">
        <f>COUNTIFS(PeopleData!D2:D43, "Admin",PeopleData!B2:B43,"&lt;&gt;TBH*")</f>
        <v>0</v>
      </c>
      <c r="C28">
        <f>COUNTIFS(PeopleData!D2:D40, "Admin",PeopleData!G2:G40,"FTE",PeopleData!B2:B40,"&lt;&gt;TBH*")</f>
        <v>0</v>
      </c>
      <c r="D28">
        <f>COUNTIFS(PeopleData!D2:D40, "Admin",PeopleData!G2:G40,"Consultant",PeopleData!B2:B40,"&lt;&gt;TBH*")</f>
        <v>0</v>
      </c>
      <c r="F28" s="10"/>
      <c r="G28" s="4"/>
      <c r="O28">
        <f>B28</f>
        <v>0</v>
      </c>
    </row>
    <row r="29" spans="1:15" x14ac:dyDescent="0.25">
      <c r="A29" t="s">
        <v>144</v>
      </c>
      <c r="B29" s="2">
        <f>COUNTIFS(PeopleData!D2:D40, "Admin")</f>
        <v>0</v>
      </c>
      <c r="C29">
        <f>COUNTIFS(PeopleData!D2:D40, "Admin",PeopleData!G2:G40,"FTE")</f>
        <v>0</v>
      </c>
      <c r="D29">
        <f>COUNTIFS(PeopleData!D2:D40, "Admin",PeopleData!G2:G40,"Consultant")</f>
        <v>0</v>
      </c>
      <c r="F29" s="10"/>
      <c r="G29" s="4"/>
      <c r="O29">
        <f>B29</f>
        <v>0</v>
      </c>
    </row>
    <row r="30" spans="1:15" x14ac:dyDescent="0.25">
      <c r="A30" t="s">
        <v>145</v>
      </c>
      <c r="B30" s="2">
        <v>1</v>
      </c>
      <c r="C30">
        <v>1</v>
      </c>
      <c r="D30">
        <v>0</v>
      </c>
      <c r="F30" s="10"/>
      <c r="G30" s="4"/>
      <c r="O30">
        <f>B30</f>
        <v>1</v>
      </c>
    </row>
    <row r="31" spans="1:15" x14ac:dyDescent="0.25">
      <c r="B31" s="2"/>
      <c r="F31" s="10"/>
    </row>
    <row r="32" spans="1:15" x14ac:dyDescent="0.25">
      <c r="A32" s="1" t="s">
        <v>120</v>
      </c>
      <c r="B32">
        <f>COUNTIF(PeopleData!B2:B40,"&lt;&gt;TBH*")</f>
        <v>19</v>
      </c>
      <c r="C32">
        <f>COUNTIFS(PeopleData!G2:G40, "FTE",PeopleData!B2:B40,"&lt;&gt;TBH*")</f>
        <v>17</v>
      </c>
      <c r="D32">
        <f>COUNTIFS(PeopleData!G2:G40, "Consultant",PeopleData!B2:B40,"&lt;&gt;TBH*")</f>
        <v>2</v>
      </c>
      <c r="F32" s="10"/>
      <c r="O32">
        <f>SUM(O4,O8,O12,O16,O20,O24,O28)</f>
        <v>18</v>
      </c>
    </row>
    <row r="33" spans="1:15" x14ac:dyDescent="0.25">
      <c r="A33" s="1" t="s">
        <v>154</v>
      </c>
      <c r="B33">
        <f>ROWS(PeopleData!B2:B40)</f>
        <v>39</v>
      </c>
      <c r="C33">
        <f>COUNTIFS(PeopleData!G2:G40, "FTE")</f>
        <v>28</v>
      </c>
      <c r="D33">
        <f>COUNTIFS(PeopleData!G2:G40, "Consultant")</f>
        <v>11</v>
      </c>
      <c r="F33" s="10"/>
      <c r="O33">
        <f>SUM(O5,O9,O13,O18,O21,O25,O29)</f>
        <v>39</v>
      </c>
    </row>
    <row r="34" spans="1:15" x14ac:dyDescent="0.25">
      <c r="A34" s="1" t="s">
        <v>155</v>
      </c>
      <c r="B34">
        <f>SUM(B6,B10,B14,B20,B26,B30)</f>
        <v>98</v>
      </c>
      <c r="C34">
        <f>SUM(C6,C10,C14,C20,C26,C30)</f>
        <v>78</v>
      </c>
      <c r="D34">
        <f>SUM(D6,D10,D14,D20,D26,D30)</f>
        <v>15</v>
      </c>
      <c r="F34" s="10"/>
      <c r="O34">
        <f>SUM(O6,O10,O14,O18,O22,O26,O30)</f>
        <v>107</v>
      </c>
    </row>
    <row r="35" spans="1:15" x14ac:dyDescent="0.25">
      <c r="A35" s="1"/>
      <c r="F35" s="10"/>
    </row>
    <row r="36" spans="1:15" x14ac:dyDescent="0.25">
      <c r="A36" s="1"/>
      <c r="F36" s="10"/>
    </row>
    <row r="37" spans="1:15" x14ac:dyDescent="0.25">
      <c r="A37" s="1"/>
      <c r="B37" s="6" t="s">
        <v>135</v>
      </c>
      <c r="C37" s="6" t="s">
        <v>136</v>
      </c>
      <c r="F37" s="10"/>
    </row>
    <row r="38" spans="1:15" x14ac:dyDescent="0.25">
      <c r="A38" s="1" t="s">
        <v>114</v>
      </c>
      <c r="B38">
        <f>COUNTIF(PeopleData!I2:I40, "HCPAW-FY14 Invest")</f>
        <v>3</v>
      </c>
      <c r="C38">
        <f>COUNTIFS(PeopleData!I2:I40, "HCPAW-FY14 Invest",PeopleData!B2:B40,"=TBH*")</f>
        <v>2</v>
      </c>
      <c r="F38" s="10"/>
    </row>
    <row r="39" spans="1:15" x14ac:dyDescent="0.25">
      <c r="A39" s="1" t="s">
        <v>116</v>
      </c>
      <c r="B39">
        <f>COUNTIF(PeopleData!I2:I41, "HCP replacement")</f>
        <v>8</v>
      </c>
      <c r="C39">
        <f>COUNTIFS(PeopleData!I2:I40, "HCP replacement",PeopleData!B2:B40,"=TBH*")</f>
        <v>8</v>
      </c>
      <c r="F39" s="10"/>
    </row>
    <row r="41" spans="1:15" x14ac:dyDescent="0.25">
      <c r="A41" s="1" t="s">
        <v>140</v>
      </c>
    </row>
    <row r="42" spans="1:15" x14ac:dyDescent="0.25">
      <c r="A42" s="12" t="s">
        <v>141</v>
      </c>
    </row>
    <row r="43" spans="1:15" x14ac:dyDescent="0.25">
      <c r="A43" s="12" t="s">
        <v>142</v>
      </c>
    </row>
    <row r="44" spans="1:15" x14ac:dyDescent="0.25">
      <c r="A44" t="s">
        <v>137</v>
      </c>
    </row>
  </sheetData>
  <phoneticPr fontId="5" type="noConversion"/>
  <pageMargins left="0.75" right="0.75" top="1" bottom="1" header="0.5" footer="0.5"/>
  <pageSetup orientation="portrait" horizontalDpi="4294967292" verticalDpi="4294967292"/>
  <colBreaks count="1" manualBreakCount="1">
    <brk id="5" max="1048575" man="1"/>
  </colBreaks>
  <ignoredErrors>
    <ignoredError sqref="B39 O26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4"/>
  <sheetViews>
    <sheetView workbookViewId="0">
      <selection activeCell="C20" sqref="C20"/>
    </sheetView>
  </sheetViews>
  <sheetFormatPr defaultColWidth="11" defaultRowHeight="15.75" x14ac:dyDescent="0.25"/>
  <cols>
    <col min="1" max="1" width="19.5" customWidth="1"/>
    <col min="6" max="6" width="20.625" customWidth="1"/>
    <col min="8" max="9" width="10.875" customWidth="1"/>
    <col min="10" max="10" width="16.375" customWidth="1"/>
    <col min="11" max="11" width="33.125" customWidth="1"/>
    <col min="12" max="12" width="14.125" bestFit="1" customWidth="1"/>
  </cols>
  <sheetData>
    <row r="1" spans="1:13" x14ac:dyDescent="0.25">
      <c r="A1" s="1" t="s">
        <v>0</v>
      </c>
      <c r="B1" s="1" t="s">
        <v>3</v>
      </c>
      <c r="C1" s="1" t="s">
        <v>2</v>
      </c>
      <c r="D1" s="1" t="s">
        <v>18</v>
      </c>
      <c r="E1" s="1" t="s">
        <v>97</v>
      </c>
      <c r="F1" s="3" t="s">
        <v>109</v>
      </c>
      <c r="G1" s="8" t="s">
        <v>121</v>
      </c>
      <c r="H1" s="1" t="s">
        <v>115</v>
      </c>
      <c r="I1" s="1" t="s">
        <v>220</v>
      </c>
      <c r="J1" s="1" t="s">
        <v>126</v>
      </c>
      <c r="K1" s="1" t="s">
        <v>159</v>
      </c>
      <c r="L1" s="1" t="s">
        <v>185</v>
      </c>
    </row>
    <row r="2" spans="1:13" x14ac:dyDescent="0.25">
      <c r="A2" s="2" t="s">
        <v>61</v>
      </c>
      <c r="B2" s="2" t="s">
        <v>104</v>
      </c>
      <c r="C2" s="2" t="s">
        <v>25</v>
      </c>
      <c r="D2" s="2" t="s">
        <v>19</v>
      </c>
      <c r="E2" s="2" t="s">
        <v>104</v>
      </c>
      <c r="F2" s="2"/>
      <c r="G2" s="13"/>
      <c r="H2" s="2"/>
      <c r="I2" s="2"/>
      <c r="J2" s="2"/>
      <c r="K2" s="2" t="s">
        <v>165</v>
      </c>
      <c r="L2" s="14">
        <v>41695</v>
      </c>
    </row>
    <row r="3" spans="1:13" x14ac:dyDescent="0.25">
      <c r="A3" t="s">
        <v>29</v>
      </c>
      <c r="B3" t="s">
        <v>9</v>
      </c>
      <c r="C3" t="s">
        <v>25</v>
      </c>
      <c r="D3" t="s">
        <v>19</v>
      </c>
      <c r="E3" t="s">
        <v>99</v>
      </c>
      <c r="G3" s="9"/>
      <c r="K3" t="s">
        <v>166</v>
      </c>
      <c r="L3" s="14">
        <v>41719</v>
      </c>
    </row>
    <row r="4" spans="1:13" x14ac:dyDescent="0.25">
      <c r="A4" t="s">
        <v>146</v>
      </c>
      <c r="B4" t="s">
        <v>107</v>
      </c>
      <c r="C4" t="s">
        <v>147</v>
      </c>
      <c r="D4" t="s">
        <v>20</v>
      </c>
      <c r="E4" t="s">
        <v>107</v>
      </c>
      <c r="G4" s="9"/>
      <c r="H4" t="s">
        <v>156</v>
      </c>
      <c r="J4" t="s">
        <v>131</v>
      </c>
      <c r="K4" t="s">
        <v>171</v>
      </c>
      <c r="L4" s="14">
        <v>41743</v>
      </c>
    </row>
    <row r="5" spans="1:13" x14ac:dyDescent="0.25">
      <c r="A5" t="s">
        <v>93</v>
      </c>
      <c r="B5" t="s">
        <v>106</v>
      </c>
      <c r="C5" t="s">
        <v>43</v>
      </c>
      <c r="D5" t="s">
        <v>19</v>
      </c>
      <c r="E5" t="s">
        <v>106</v>
      </c>
      <c r="G5" s="9"/>
      <c r="K5" t="s">
        <v>172</v>
      </c>
      <c r="L5" s="14">
        <v>41738</v>
      </c>
    </row>
    <row r="6" spans="1:13" x14ac:dyDescent="0.25">
      <c r="A6" t="s">
        <v>86</v>
      </c>
      <c r="B6" t="s">
        <v>5</v>
      </c>
      <c r="C6" t="s">
        <v>25</v>
      </c>
      <c r="D6" t="s">
        <v>19</v>
      </c>
      <c r="E6" t="s">
        <v>99</v>
      </c>
      <c r="G6" s="9"/>
      <c r="K6" t="s">
        <v>184</v>
      </c>
      <c r="L6" s="14">
        <v>41761</v>
      </c>
    </row>
    <row r="7" spans="1:13" x14ac:dyDescent="0.25">
      <c r="A7" s="2" t="s">
        <v>123</v>
      </c>
      <c r="B7" s="2" t="s">
        <v>5</v>
      </c>
      <c r="C7" s="2" t="s">
        <v>17</v>
      </c>
      <c r="D7" s="2" t="s">
        <v>20</v>
      </c>
      <c r="E7" s="2" t="s">
        <v>98</v>
      </c>
      <c r="F7" t="s">
        <v>197</v>
      </c>
      <c r="G7" s="9">
        <v>11949</v>
      </c>
      <c r="H7" s="2" t="s">
        <v>124</v>
      </c>
      <c r="I7" s="2"/>
      <c r="J7" s="14" t="s">
        <v>131</v>
      </c>
      <c r="K7" s="2" t="s">
        <v>183</v>
      </c>
      <c r="L7" s="14">
        <v>41768</v>
      </c>
    </row>
    <row r="8" spans="1:13" x14ac:dyDescent="0.25">
      <c r="A8" t="s">
        <v>41</v>
      </c>
      <c r="B8" t="s">
        <v>7</v>
      </c>
      <c r="C8" t="s">
        <v>33</v>
      </c>
      <c r="D8" t="s">
        <v>19</v>
      </c>
      <c r="E8" t="s">
        <v>99</v>
      </c>
      <c r="G8" s="9"/>
      <c r="K8" t="s">
        <v>166</v>
      </c>
      <c r="L8" s="14">
        <v>41780</v>
      </c>
    </row>
    <row r="9" spans="1:13" x14ac:dyDescent="0.25">
      <c r="A9" t="s">
        <v>16</v>
      </c>
      <c r="B9" t="s">
        <v>7</v>
      </c>
      <c r="C9" t="s">
        <v>17</v>
      </c>
      <c r="D9" t="s">
        <v>19</v>
      </c>
      <c r="E9" t="s">
        <v>100</v>
      </c>
      <c r="G9" s="9"/>
      <c r="J9" t="s">
        <v>131</v>
      </c>
      <c r="K9" t="s">
        <v>183</v>
      </c>
      <c r="L9" s="14">
        <v>41792</v>
      </c>
    </row>
    <row r="10" spans="1:13" x14ac:dyDescent="0.25">
      <c r="A10" t="s">
        <v>24</v>
      </c>
      <c r="B10" t="s">
        <v>9</v>
      </c>
      <c r="C10" t="s">
        <v>25</v>
      </c>
      <c r="D10" t="s">
        <v>19</v>
      </c>
      <c r="E10" t="s">
        <v>100</v>
      </c>
      <c r="G10" s="9"/>
      <c r="K10" t="s">
        <v>199</v>
      </c>
      <c r="L10" s="14">
        <v>41820</v>
      </c>
    </row>
    <row r="11" spans="1:13" x14ac:dyDescent="0.25">
      <c r="A11" t="s">
        <v>58</v>
      </c>
      <c r="B11" t="s">
        <v>9</v>
      </c>
      <c r="C11" t="s">
        <v>33</v>
      </c>
      <c r="D11" t="s">
        <v>19</v>
      </c>
      <c r="E11" t="s">
        <v>101</v>
      </c>
      <c r="G11" s="9"/>
      <c r="K11" t="s">
        <v>199</v>
      </c>
      <c r="L11" s="14">
        <v>41823</v>
      </c>
    </row>
    <row r="12" spans="1:13" x14ac:dyDescent="0.25">
      <c r="A12" t="s">
        <v>92</v>
      </c>
      <c r="B12" t="s">
        <v>9</v>
      </c>
      <c r="C12" t="s">
        <v>22</v>
      </c>
      <c r="D12" t="s">
        <v>19</v>
      </c>
      <c r="E12" t="s">
        <v>100</v>
      </c>
      <c r="G12" s="9"/>
      <c r="K12" t="s">
        <v>203</v>
      </c>
      <c r="L12" s="14">
        <v>41817</v>
      </c>
    </row>
    <row r="13" spans="1:13" x14ac:dyDescent="0.25">
      <c r="A13" t="s">
        <v>51</v>
      </c>
      <c r="B13" t="s">
        <v>9</v>
      </c>
      <c r="C13" t="s">
        <v>22</v>
      </c>
      <c r="D13" t="s">
        <v>20</v>
      </c>
      <c r="E13" t="s">
        <v>102</v>
      </c>
      <c r="G13" s="9"/>
      <c r="J13" t="s">
        <v>215</v>
      </c>
      <c r="K13" t="s">
        <v>183</v>
      </c>
      <c r="L13" s="14">
        <v>41824</v>
      </c>
    </row>
    <row r="14" spans="1:13" x14ac:dyDescent="0.25">
      <c r="A14" t="s">
        <v>169</v>
      </c>
      <c r="B14" t="s">
        <v>9</v>
      </c>
      <c r="C14" t="s">
        <v>17</v>
      </c>
      <c r="D14" t="s">
        <v>20</v>
      </c>
      <c r="E14" t="s">
        <v>100</v>
      </c>
      <c r="F14" t="s">
        <v>198</v>
      </c>
      <c r="G14" s="9">
        <v>11959</v>
      </c>
      <c r="H14" t="s">
        <v>182</v>
      </c>
      <c r="J14" s="14" t="s">
        <v>130</v>
      </c>
      <c r="K14" t="s">
        <v>183</v>
      </c>
      <c r="L14" s="14">
        <v>41837</v>
      </c>
      <c r="M14" t="s">
        <v>221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AWFunc</vt:lpstr>
      <vt:lpstr>HCPFunc</vt:lpstr>
      <vt:lpstr>HDDSFunc</vt:lpstr>
      <vt:lpstr>RhinoFunc</vt:lpstr>
      <vt:lpstr>CrossFunc</vt:lpstr>
      <vt:lpstr>WalthamAdmin</vt:lpstr>
      <vt:lpstr>Views</vt:lpstr>
      <vt:lpstr>PeopleData</vt:lpstr>
      <vt:lpstr>Team Totals</vt:lpstr>
      <vt:lpstr>Departures</vt:lpstr>
    </vt:vector>
  </TitlesOfParts>
  <Company>HDS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Kalister</dc:creator>
  <cp:lastModifiedBy>Hitachi Data Systems</cp:lastModifiedBy>
  <cp:lastPrinted>2014-07-30T12:19:12Z</cp:lastPrinted>
  <dcterms:created xsi:type="dcterms:W3CDTF">2014-02-25T19:30:44Z</dcterms:created>
  <dcterms:modified xsi:type="dcterms:W3CDTF">2014-08-01T17:44:14Z</dcterms:modified>
</cp:coreProperties>
</file>